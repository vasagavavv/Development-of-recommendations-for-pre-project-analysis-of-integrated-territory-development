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НИР\НИР 3\01-Files\01-Excel\"/>
    </mc:Choice>
  </mc:AlternateContent>
  <xr:revisionPtr revIDLastSave="0" documentId="13_ncr:1_{8F50841A-0A16-4E51-B104-69E0C9AEF8FF}" xr6:coauthVersionLast="47" xr6:coauthVersionMax="47" xr10:uidLastSave="{00000000-0000-0000-0000-000000000000}"/>
  <bookViews>
    <workbookView xWindow="-120" yWindow="-18120" windowWidth="29040" windowHeight="17520" xr2:uid="{36B995BA-E294-4019-BE75-751581BAF9E2}"/>
  </bookViews>
  <sheets>
    <sheet name="Только парки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O14" i="2" l="1"/>
  <c r="BJ14" i="2"/>
  <c r="BI14" i="2"/>
  <c r="AX14" i="2"/>
  <c r="AW14" i="2"/>
  <c r="AV14" i="2"/>
  <c r="AU14" i="2"/>
  <c r="AT14" i="2"/>
  <c r="AS14" i="2"/>
  <c r="AF14" i="2"/>
  <c r="AE14" i="2"/>
  <c r="T14" i="2"/>
  <c r="BQ14" i="2" s="1"/>
  <c r="S14" i="2"/>
  <c r="BQ13" i="2"/>
  <c r="BP13" i="2"/>
  <c r="BO13" i="2"/>
  <c r="BJ13" i="2"/>
  <c r="BI13" i="2"/>
  <c r="AX13" i="2"/>
  <c r="AW13" i="2"/>
  <c r="AU13" i="2"/>
  <c r="AT13" i="2"/>
  <c r="AS13" i="2"/>
  <c r="AF13" i="2"/>
  <c r="AE13" i="2"/>
  <c r="T13" i="2"/>
  <c r="S13" i="2"/>
  <c r="BO12" i="2"/>
  <c r="BJ12" i="2"/>
  <c r="BI12" i="2"/>
  <c r="AX12" i="2"/>
  <c r="AW12" i="2"/>
  <c r="AT12" i="2"/>
  <c r="AS12" i="2"/>
  <c r="AH12" i="2"/>
  <c r="AG12" i="2"/>
  <c r="AF12" i="2"/>
  <c r="AE12" i="2"/>
  <c r="T12" i="2"/>
  <c r="S12" i="2"/>
  <c r="BO11" i="2"/>
  <c r="BJ11" i="2"/>
  <c r="BI11" i="2"/>
  <c r="AX11" i="2"/>
  <c r="AW11" i="2"/>
  <c r="AV11" i="2"/>
  <c r="AU11" i="2"/>
  <c r="AT11" i="2"/>
  <c r="AS11" i="2"/>
  <c r="AF11" i="2"/>
  <c r="AE11" i="2"/>
  <c r="T11" i="2"/>
  <c r="S11" i="2"/>
  <c r="BO10" i="2"/>
  <c r="BJ10" i="2"/>
  <c r="BI10" i="2"/>
  <c r="AT10" i="2"/>
  <c r="AS10" i="2"/>
  <c r="AF10" i="2"/>
  <c r="AE10" i="2"/>
  <c r="T10" i="2"/>
  <c r="BQ10" i="2" s="1"/>
  <c r="S10" i="2"/>
  <c r="BP10" i="2" s="1"/>
  <c r="BO9" i="2"/>
  <c r="BJ9" i="2"/>
  <c r="BI9" i="2"/>
  <c r="AX9" i="2"/>
  <c r="AW9" i="2"/>
  <c r="AV9" i="2"/>
  <c r="AU9" i="2"/>
  <c r="AT9" i="2"/>
  <c r="AS9" i="2"/>
  <c r="AH9" i="2"/>
  <c r="AG9" i="2"/>
  <c r="AF9" i="2"/>
  <c r="AE9" i="2"/>
  <c r="T9" i="2"/>
  <c r="S9" i="2"/>
  <c r="BO8" i="2"/>
  <c r="BJ8" i="2"/>
  <c r="BI8" i="2"/>
  <c r="AX8" i="2"/>
  <c r="AW8" i="2"/>
  <c r="AV8" i="2"/>
  <c r="AU8" i="2"/>
  <c r="AT8" i="2"/>
  <c r="AS8" i="2"/>
  <c r="AH8" i="2"/>
  <c r="AG8" i="2"/>
  <c r="AF8" i="2"/>
  <c r="AE8" i="2"/>
  <c r="T8" i="2"/>
  <c r="S8" i="2"/>
  <c r="BO7" i="2"/>
  <c r="BJ7" i="2"/>
  <c r="BI7" i="2"/>
  <c r="AV7" i="2"/>
  <c r="AU7" i="2"/>
  <c r="AT7" i="2"/>
  <c r="AS7" i="2"/>
  <c r="AF7" i="2"/>
  <c r="AE7" i="2"/>
  <c r="T7" i="2"/>
  <c r="S7" i="2"/>
  <c r="BO6" i="2"/>
  <c r="BJ6" i="2"/>
  <c r="BI6" i="2"/>
  <c r="AX6" i="2"/>
  <c r="AT6" i="2"/>
  <c r="AS6" i="2"/>
  <c r="AF6" i="2"/>
  <c r="AE6" i="2"/>
  <c r="T6" i="2"/>
  <c r="S6" i="2"/>
  <c r="BO5" i="2"/>
  <c r="BJ5" i="2"/>
  <c r="BI5" i="2"/>
  <c r="AT5" i="2"/>
  <c r="AS5" i="2"/>
  <c r="AH5" i="2"/>
  <c r="AG5" i="2"/>
  <c r="AF5" i="2"/>
  <c r="AE5" i="2"/>
  <c r="T5" i="2"/>
  <c r="S5" i="2"/>
  <c r="BP5" i="2" s="1"/>
  <c r="BO4" i="2"/>
  <c r="BJ4" i="2"/>
  <c r="BI4" i="2"/>
  <c r="AV4" i="2"/>
  <c r="AU4" i="2"/>
  <c r="AT4" i="2"/>
  <c r="AS4" i="2"/>
  <c r="AH4" i="2"/>
  <c r="AG4" i="2"/>
  <c r="AF4" i="2"/>
  <c r="AE4" i="2"/>
  <c r="T4" i="2"/>
  <c r="S4" i="2"/>
  <c r="BQ9" i="2" l="1"/>
  <c r="BP4" i="2"/>
  <c r="BQ4" i="2"/>
  <c r="BQ7" i="2"/>
  <c r="BQ5" i="2"/>
  <c r="BR5" i="2" s="1"/>
  <c r="BR10" i="2"/>
  <c r="BP7" i="2"/>
  <c r="BR7" i="2" s="1"/>
  <c r="BR13" i="2"/>
  <c r="BP9" i="2"/>
  <c r="BP8" i="2"/>
  <c r="BR8" i="2" s="1"/>
  <c r="BP12" i="2"/>
  <c r="BP6" i="2"/>
  <c r="BP11" i="2"/>
  <c r="BR9" i="2"/>
  <c r="BX9" i="2" s="1"/>
  <c r="BQ12" i="2"/>
  <c r="BR12" i="2" s="1"/>
  <c r="BW12" i="2" s="1"/>
  <c r="BQ6" i="2"/>
  <c r="BR6" i="2" s="1"/>
  <c r="BQ11" i="2"/>
  <c r="BP14" i="2"/>
  <c r="BR14" i="2" s="1"/>
  <c r="BQ8" i="2"/>
  <c r="BR4" i="2"/>
  <c r="BX10" i="2"/>
  <c r="BW10" i="2"/>
  <c r="BT10" i="2"/>
  <c r="BU10" i="2" s="1"/>
  <c r="BX13" i="2"/>
  <c r="BW13" i="2"/>
  <c r="BT13" i="2"/>
  <c r="BU13" i="2" s="1"/>
  <c r="BT9" i="2" l="1"/>
  <c r="BU9" i="2" s="1"/>
  <c r="BW9" i="2"/>
  <c r="BX12" i="2"/>
  <c r="BT12" i="2"/>
  <c r="BU12" i="2" s="1"/>
  <c r="BR11" i="2"/>
  <c r="BW14" i="2"/>
  <c r="BT14" i="2"/>
  <c r="BU14" i="2" s="1"/>
  <c r="BX14" i="2"/>
  <c r="BX11" i="2"/>
  <c r="BW11" i="2"/>
  <c r="BT11" i="2"/>
  <c r="BU11" i="2" s="1"/>
  <c r="BX7" i="2"/>
  <c r="BW7" i="2"/>
  <c r="BT7" i="2"/>
  <c r="BU7" i="2" s="1"/>
  <c r="BS19" i="2"/>
  <c r="BS18" i="2"/>
  <c r="BS5" i="2" s="1"/>
  <c r="BV5" i="2" s="1"/>
  <c r="BX4" i="2"/>
  <c r="BW4" i="2"/>
  <c r="BT4" i="2"/>
  <c r="BU4" i="2" s="1"/>
  <c r="BX8" i="2"/>
  <c r="BW8" i="2"/>
  <c r="BT8" i="2"/>
  <c r="BU8" i="2" s="1"/>
  <c r="BX6" i="2"/>
  <c r="BT6" i="2"/>
  <c r="BU6" i="2" s="1"/>
  <c r="BW6" i="2"/>
  <c r="BX5" i="2"/>
  <c r="BW5" i="2"/>
  <c r="BT5" i="2"/>
  <c r="BU5" i="2" s="1"/>
  <c r="BS4" i="2" l="1"/>
  <c r="BV4" i="2" s="1"/>
  <c r="BS13" i="2"/>
  <c r="BV13" i="2" s="1"/>
  <c r="BS12" i="2"/>
  <c r="BV12" i="2" s="1"/>
  <c r="BS14" i="2"/>
  <c r="BV14" i="2" s="1"/>
  <c r="BS10" i="2"/>
  <c r="BV10" i="2" s="1"/>
  <c r="BS9" i="2"/>
  <c r="BV9" i="2" s="1"/>
  <c r="BS6" i="2"/>
  <c r="BV6" i="2" s="1"/>
  <c r="BS7" i="2"/>
  <c r="BV7" i="2" s="1"/>
  <c r="BS11" i="2"/>
  <c r="BV11" i="2" s="1"/>
  <c r="BS8" i="2"/>
  <c r="BV8" i="2" s="1"/>
</calcChain>
</file>

<file path=xl/sharedStrings.xml><?xml version="1.0" encoding="utf-8"?>
<sst xmlns="http://schemas.openxmlformats.org/spreadsheetml/2006/main" count="230" uniqueCount="75">
  <si>
    <t>№</t>
  </si>
  <si>
    <t>Город</t>
  </si>
  <si>
    <t>Регион</t>
  </si>
  <si>
    <t>Δ</t>
  </si>
  <si>
    <t>5&lt;</t>
  </si>
  <si>
    <t>5&lt;10</t>
  </si>
  <si>
    <t>10&lt;15</t>
  </si>
  <si>
    <t>15&lt;20</t>
  </si>
  <si>
    <t>20&lt;25</t>
  </si>
  <si>
    <t>Вязники</t>
  </si>
  <si>
    <t>Владимирская область</t>
  </si>
  <si>
    <t>Благоустройство Фатьяновского парка</t>
  </si>
  <si>
    <t>park</t>
  </si>
  <si>
    <t>42,138423 56,249394</t>
  </si>
  <si>
    <t>Новохопёрск</t>
  </si>
  <si>
    <t>Воронежская область</t>
  </si>
  <si>
    <t>Создание парка «Крымская горка»</t>
  </si>
  <si>
    <t>51.102614, 41.621143</t>
  </si>
  <si>
    <t>Россошь</t>
  </si>
  <si>
    <t>Создание экопарка «Каялов Бор»</t>
  </si>
  <si>
    <t>50.201639, 39.489888</t>
  </si>
  <si>
    <t>Шарья</t>
  </si>
  <si>
    <t>Костромская область</t>
  </si>
  <si>
    <t>Городской парк культуры и отдыха «Музей леса»</t>
  </si>
  <si>
    <t>58.384604, 45.494894</t>
  </si>
  <si>
    <t>Елец</t>
  </si>
  <si>
    <t>Липецкая область</t>
  </si>
  <si>
    <t>Благоустройство сквера имени И.А. Бунина и имени М.С. Соломенцева</t>
  </si>
  <si>
    <t>52.622288, 38.498700
52.621825, 38.498455</t>
  </si>
  <si>
    <t>Звенигород</t>
  </si>
  <si>
    <t>Московская область</t>
  </si>
  <si>
    <t>Звенигород — Гостиный город</t>
  </si>
  <si>
    <t>55.731719, 36.849934</t>
  </si>
  <si>
    <t>Малоархангельск</t>
  </si>
  <si>
    <t>Орловская область</t>
  </si>
  <si>
    <t>Малоархангельский парк</t>
  </si>
  <si>
    <t>52.400482, 36.506585</t>
  </si>
  <si>
    <t>Ливны</t>
  </si>
  <si>
    <t>Парк машиностроителей</t>
  </si>
  <si>
    <t>52.402539, 37.561085</t>
  </si>
  <si>
    <t>Болхов</t>
  </si>
  <si>
    <t>Сад-городок</t>
  </si>
  <si>
    <t>53.441034, 36.007166</t>
  </si>
  <si>
    <t>Кораблино</t>
  </si>
  <si>
    <t>Рязанская область</t>
  </si>
  <si>
    <t>Концепция развития «Берёзовый парк» в г. Кораблино</t>
  </si>
  <si>
    <t>53.926712, 40.047816</t>
  </si>
  <si>
    <t>Липки</t>
  </si>
  <si>
    <t>Тульская область</t>
  </si>
  <si>
    <t>Липки - рестарт. Проект благоустройства парка г. Липки»</t>
  </si>
  <si>
    <t>53.941601, 37.704890</t>
  </si>
  <si>
    <t>name</t>
  </si>
  <si>
    <t>category</t>
  </si>
  <si>
    <t>grant amount</t>
  </si>
  <si>
    <t>construction amount</t>
  </si>
  <si>
    <t>coordinate</t>
  </si>
  <si>
    <t>POI</t>
  </si>
  <si>
    <t xml:space="preserve">Before </t>
  </si>
  <si>
    <t>After</t>
  </si>
  <si>
    <t>Sum</t>
  </si>
  <si>
    <t>Before</t>
  </si>
  <si>
    <t>Norm_infl</t>
  </si>
  <si>
    <t>Culture</t>
  </si>
  <si>
    <t>Religion</t>
  </si>
  <si>
    <t>Food</t>
  </si>
  <si>
    <t>Sport_big</t>
  </si>
  <si>
    <t>Sport_small</t>
  </si>
  <si>
    <t>Game</t>
  </si>
  <si>
    <t>Space Syntax</t>
  </si>
  <si>
    <t>Contruction_amount_region</t>
  </si>
  <si>
    <t>All_sum</t>
  </si>
  <si>
    <t>Evaluation</t>
  </si>
  <si>
    <t>Δ norm</t>
  </si>
  <si>
    <t>Δ/mil</t>
  </si>
  <si>
    <t>(Δ/mil) /constr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</si>
</sst>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0" fillId="10" borderId="2" xfId="0" applyFill="1" applyBorder="1"/>
    <xf numFmtId="0" fontId="0" fillId="12" borderId="2" xfId="0" applyFill="1" applyBorder="1"/>
    <xf numFmtId="0" fontId="0" fillId="9" borderId="0" xfId="0" applyFill="1"/>
    <xf numFmtId="0" fontId="2" fillId="6" borderId="2" xfId="0" applyFont="1" applyFill="1" applyBorder="1" applyAlignment="1">
      <alignment vertical="center"/>
    </xf>
    <xf numFmtId="0" fontId="0" fillId="2" borderId="2" xfId="0" applyFill="1" applyBorder="1"/>
    <xf numFmtId="0" fontId="0" fillId="4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11" borderId="2" xfId="0" applyFill="1" applyBorder="1"/>
    <xf numFmtId="0" fontId="0" fillId="8" borderId="2" xfId="0" applyFill="1" applyBorder="1"/>
    <xf numFmtId="2" fontId="0" fillId="8" borderId="2" xfId="0" applyNumberFormat="1" applyFill="1" applyBorder="1"/>
    <xf numFmtId="2" fontId="0" fillId="0" borderId="2" xfId="0" applyNumberFormat="1" applyBorder="1"/>
    <xf numFmtId="2" fontId="0" fillId="9" borderId="2" xfId="0" applyNumberFormat="1" applyFill="1" applyBorder="1"/>
    <xf numFmtId="0" fontId="3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-&#1040;&#1085;&#1072;&#1083;&#1080;&#1079;%20&#1080;%20&#1086;&#1094;&#1077;&#1085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ы"/>
      <sheetName val="Лист1"/>
      <sheetName val="Мера весов"/>
      <sheetName val="Метрики"/>
      <sheetName val="Оценивание"/>
      <sheetName val="Только парки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I4">
            <v>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6179-098C-423F-9C23-6588375F0DCD}">
  <dimension ref="A1:BX19"/>
  <sheetViews>
    <sheetView tabSelected="1" zoomScale="85" zoomScaleNormal="85" workbookViewId="0">
      <selection activeCell="T4" sqref="T4"/>
    </sheetView>
  </sheetViews>
  <sheetFormatPr defaultRowHeight="15" x14ac:dyDescent="0.25"/>
  <cols>
    <col min="1" max="1" width="5.7109375" customWidth="1"/>
    <col min="2" max="2" width="15.7109375" customWidth="1"/>
    <col min="3" max="3" width="20.140625" customWidth="1"/>
    <col min="4" max="4" width="35.7109375" customWidth="1"/>
    <col min="5" max="5" width="16.7109375" customWidth="1"/>
    <col min="6" max="7" width="12.7109375" customWidth="1"/>
    <col min="8" max="8" width="20.5703125" customWidth="1"/>
    <col min="74" max="74" width="9.140625" style="11"/>
  </cols>
  <sheetData>
    <row r="1" spans="1:76" s="1" customFormat="1" ht="25.5" customHeight="1" x14ac:dyDescent="0.25">
      <c r="A1" s="37" t="s">
        <v>0</v>
      </c>
      <c r="B1" s="37" t="s">
        <v>1</v>
      </c>
      <c r="C1" s="37" t="s">
        <v>2</v>
      </c>
      <c r="D1" s="37" t="s">
        <v>51</v>
      </c>
      <c r="E1" s="37" t="s">
        <v>52</v>
      </c>
      <c r="F1" s="37" t="s">
        <v>53</v>
      </c>
      <c r="G1" s="37" t="s">
        <v>54</v>
      </c>
      <c r="H1" s="37" t="s">
        <v>55</v>
      </c>
      <c r="I1" s="23" t="s">
        <v>56</v>
      </c>
      <c r="J1" s="23" t="s">
        <v>56</v>
      </c>
      <c r="K1" s="23" t="s">
        <v>56</v>
      </c>
      <c r="L1" s="23" t="s">
        <v>56</v>
      </c>
      <c r="M1" s="23" t="s">
        <v>56</v>
      </c>
      <c r="N1" s="23" t="s">
        <v>56</v>
      </c>
      <c r="O1" s="23" t="s">
        <v>56</v>
      </c>
      <c r="P1" s="23" t="s">
        <v>56</v>
      </c>
      <c r="Q1" s="23" t="s">
        <v>56</v>
      </c>
      <c r="R1" s="23" t="s">
        <v>56</v>
      </c>
      <c r="S1" s="23" t="s">
        <v>59</v>
      </c>
      <c r="T1" s="23" t="s">
        <v>59</v>
      </c>
      <c r="U1" s="23" t="s">
        <v>62</v>
      </c>
      <c r="V1" s="23" t="s">
        <v>62</v>
      </c>
      <c r="W1" s="23" t="s">
        <v>62</v>
      </c>
      <c r="X1" s="23" t="s">
        <v>62</v>
      </c>
      <c r="Y1" s="23" t="s">
        <v>62</v>
      </c>
      <c r="Z1" s="23" t="s">
        <v>62</v>
      </c>
      <c r="AA1" s="23" t="s">
        <v>62</v>
      </c>
      <c r="AB1" s="23" t="s">
        <v>62</v>
      </c>
      <c r="AC1" s="23" t="s">
        <v>62</v>
      </c>
      <c r="AD1" s="23" t="s">
        <v>62</v>
      </c>
      <c r="AE1" s="23" t="s">
        <v>59</v>
      </c>
      <c r="AF1" s="23" t="s">
        <v>59</v>
      </c>
      <c r="AG1" s="25" t="s">
        <v>63</v>
      </c>
      <c r="AH1" s="25" t="s">
        <v>63</v>
      </c>
      <c r="AI1" s="24" t="s">
        <v>64</v>
      </c>
      <c r="AJ1" s="24" t="s">
        <v>64</v>
      </c>
      <c r="AK1" s="24" t="s">
        <v>64</v>
      </c>
      <c r="AL1" s="24" t="s">
        <v>64</v>
      </c>
      <c r="AM1" s="24" t="s">
        <v>64</v>
      </c>
      <c r="AN1" s="24" t="s">
        <v>64</v>
      </c>
      <c r="AO1" s="24" t="s">
        <v>64</v>
      </c>
      <c r="AP1" s="24" t="s">
        <v>64</v>
      </c>
      <c r="AQ1" s="24" t="s">
        <v>64</v>
      </c>
      <c r="AR1" s="24" t="s">
        <v>64</v>
      </c>
      <c r="AS1" s="24" t="s">
        <v>59</v>
      </c>
      <c r="AT1" s="24" t="s">
        <v>59</v>
      </c>
      <c r="AU1" s="26" t="s">
        <v>65</v>
      </c>
      <c r="AV1" s="26" t="s">
        <v>65</v>
      </c>
      <c r="AW1" s="26" t="s">
        <v>66</v>
      </c>
      <c r="AX1" s="26" t="s">
        <v>66</v>
      </c>
      <c r="AY1" s="27" t="s">
        <v>67</v>
      </c>
      <c r="AZ1" s="27" t="s">
        <v>67</v>
      </c>
      <c r="BA1" s="27" t="s">
        <v>67</v>
      </c>
      <c r="BB1" s="27" t="s">
        <v>67</v>
      </c>
      <c r="BC1" s="27" t="s">
        <v>67</v>
      </c>
      <c r="BD1" s="27" t="s">
        <v>67</v>
      </c>
      <c r="BE1" s="27" t="s">
        <v>67</v>
      </c>
      <c r="BF1" s="27" t="s">
        <v>67</v>
      </c>
      <c r="BG1" s="27" t="s">
        <v>67</v>
      </c>
      <c r="BH1" s="27" t="s">
        <v>67</v>
      </c>
      <c r="BI1" s="27" t="s">
        <v>59</v>
      </c>
      <c r="BJ1" s="27" t="s">
        <v>59</v>
      </c>
      <c r="BK1" s="28" t="s">
        <v>68</v>
      </c>
      <c r="BL1" s="28" t="s">
        <v>68</v>
      </c>
      <c r="BM1" s="29" t="s">
        <v>69</v>
      </c>
      <c r="BN1" s="29" t="s">
        <v>69</v>
      </c>
      <c r="BO1" s="29" t="s">
        <v>69</v>
      </c>
      <c r="BP1" s="30" t="s">
        <v>70</v>
      </c>
      <c r="BQ1" s="30" t="s">
        <v>70</v>
      </c>
      <c r="BR1" s="41" t="s">
        <v>3</v>
      </c>
      <c r="BS1" s="33" t="s">
        <v>72</v>
      </c>
      <c r="BT1" s="33" t="s">
        <v>73</v>
      </c>
      <c r="BU1" s="37" t="s">
        <v>74</v>
      </c>
      <c r="BV1" s="38" t="s">
        <v>71</v>
      </c>
      <c r="BW1" s="39"/>
      <c r="BX1" s="39"/>
    </row>
    <row r="2" spans="1:76" s="2" customFormat="1" x14ac:dyDescent="0.25">
      <c r="A2" s="37"/>
      <c r="B2" s="37"/>
      <c r="C2" s="37"/>
      <c r="D2" s="37"/>
      <c r="E2" s="37"/>
      <c r="F2" s="37"/>
      <c r="G2" s="37"/>
      <c r="H2" s="37"/>
      <c r="I2" s="23" t="s">
        <v>57</v>
      </c>
      <c r="J2" s="23" t="s">
        <v>57</v>
      </c>
      <c r="K2" s="23" t="s">
        <v>57</v>
      </c>
      <c r="L2" s="23" t="s">
        <v>57</v>
      </c>
      <c r="M2" s="23" t="s">
        <v>57</v>
      </c>
      <c r="N2" s="23" t="s">
        <v>58</v>
      </c>
      <c r="O2" s="23" t="s">
        <v>58</v>
      </c>
      <c r="P2" s="23" t="s">
        <v>58</v>
      </c>
      <c r="Q2" s="23" t="s">
        <v>58</v>
      </c>
      <c r="R2" s="23" t="s">
        <v>58</v>
      </c>
      <c r="S2" s="40" t="s">
        <v>60</v>
      </c>
      <c r="T2" s="40" t="s">
        <v>58</v>
      </c>
      <c r="U2" s="23" t="s">
        <v>57</v>
      </c>
      <c r="V2" s="23" t="s">
        <v>57</v>
      </c>
      <c r="W2" s="23" t="s">
        <v>57</v>
      </c>
      <c r="X2" s="23" t="s">
        <v>57</v>
      </c>
      <c r="Y2" s="23" t="s">
        <v>57</v>
      </c>
      <c r="Z2" s="23" t="s">
        <v>58</v>
      </c>
      <c r="AA2" s="23" t="s">
        <v>58</v>
      </c>
      <c r="AB2" s="23" t="s">
        <v>58</v>
      </c>
      <c r="AC2" s="23" t="s">
        <v>58</v>
      </c>
      <c r="AD2" s="23" t="s">
        <v>58</v>
      </c>
      <c r="AE2" s="40" t="s">
        <v>60</v>
      </c>
      <c r="AF2" s="40" t="s">
        <v>58</v>
      </c>
      <c r="AG2" s="35" t="s">
        <v>57</v>
      </c>
      <c r="AH2" s="35" t="s">
        <v>58</v>
      </c>
      <c r="AI2" s="24" t="s">
        <v>57</v>
      </c>
      <c r="AJ2" s="24" t="s">
        <v>57</v>
      </c>
      <c r="AK2" s="24" t="s">
        <v>57</v>
      </c>
      <c r="AL2" s="24" t="s">
        <v>57</v>
      </c>
      <c r="AM2" s="24" t="s">
        <v>57</v>
      </c>
      <c r="AN2" s="24" t="s">
        <v>58</v>
      </c>
      <c r="AO2" s="24" t="s">
        <v>58</v>
      </c>
      <c r="AP2" s="24" t="s">
        <v>58</v>
      </c>
      <c r="AQ2" s="24" t="s">
        <v>58</v>
      </c>
      <c r="AR2" s="24" t="s">
        <v>58</v>
      </c>
      <c r="AS2" s="36" t="s">
        <v>57</v>
      </c>
      <c r="AT2" s="36" t="s">
        <v>58</v>
      </c>
      <c r="AU2" s="34" t="s">
        <v>57</v>
      </c>
      <c r="AV2" s="34" t="s">
        <v>58</v>
      </c>
      <c r="AW2" s="34" t="s">
        <v>57</v>
      </c>
      <c r="AX2" s="34" t="s">
        <v>58</v>
      </c>
      <c r="AY2" s="12" t="s">
        <v>57</v>
      </c>
      <c r="AZ2" s="12" t="s">
        <v>57</v>
      </c>
      <c r="BA2" s="12" t="s">
        <v>57</v>
      </c>
      <c r="BB2" s="12" t="s">
        <v>57</v>
      </c>
      <c r="BC2" s="12" t="s">
        <v>57</v>
      </c>
      <c r="BD2" s="12" t="s">
        <v>58</v>
      </c>
      <c r="BE2" s="12" t="s">
        <v>58</v>
      </c>
      <c r="BF2" s="12" t="s">
        <v>58</v>
      </c>
      <c r="BG2" s="12" t="s">
        <v>58</v>
      </c>
      <c r="BH2" s="12" t="s">
        <v>58</v>
      </c>
      <c r="BI2" s="42" t="s">
        <v>60</v>
      </c>
      <c r="BJ2" s="42" t="s">
        <v>58</v>
      </c>
      <c r="BK2" s="43" t="s">
        <v>57</v>
      </c>
      <c r="BL2" s="43" t="s">
        <v>58</v>
      </c>
      <c r="BM2" s="31" t="s">
        <v>57</v>
      </c>
      <c r="BN2" s="31" t="s">
        <v>58</v>
      </c>
      <c r="BO2" s="32" t="s">
        <v>61</v>
      </c>
      <c r="BP2" s="33" t="s">
        <v>57</v>
      </c>
      <c r="BQ2" s="33" t="s">
        <v>58</v>
      </c>
      <c r="BR2" s="41"/>
      <c r="BS2" s="33"/>
      <c r="BT2" s="33"/>
      <c r="BU2" s="37"/>
      <c r="BV2" s="38"/>
      <c r="BW2" s="39"/>
      <c r="BX2" s="39"/>
    </row>
    <row r="3" spans="1:76" x14ac:dyDescent="0.25">
      <c r="A3" s="37"/>
      <c r="B3" s="37"/>
      <c r="C3" s="37"/>
      <c r="D3" s="37"/>
      <c r="E3" s="37"/>
      <c r="F3" s="37"/>
      <c r="G3" s="37"/>
      <c r="H3" s="37"/>
      <c r="I3" s="13" t="s">
        <v>4</v>
      </c>
      <c r="J3" s="13" t="s">
        <v>5</v>
      </c>
      <c r="K3" s="13" t="s">
        <v>6</v>
      </c>
      <c r="L3" s="13" t="s">
        <v>7</v>
      </c>
      <c r="M3" s="13" t="s">
        <v>8</v>
      </c>
      <c r="N3" s="13" t="s">
        <v>4</v>
      </c>
      <c r="O3" s="13" t="s">
        <v>5</v>
      </c>
      <c r="P3" s="13" t="s">
        <v>6</v>
      </c>
      <c r="Q3" s="13" t="s">
        <v>7</v>
      </c>
      <c r="R3" s="13" t="s">
        <v>8</v>
      </c>
      <c r="S3" s="40"/>
      <c r="T3" s="40"/>
      <c r="U3" s="13" t="s">
        <v>4</v>
      </c>
      <c r="V3" s="13" t="s">
        <v>5</v>
      </c>
      <c r="W3" s="13" t="s">
        <v>6</v>
      </c>
      <c r="X3" s="13" t="s">
        <v>7</v>
      </c>
      <c r="Y3" s="13" t="s">
        <v>8</v>
      </c>
      <c r="Z3" s="13" t="s">
        <v>4</v>
      </c>
      <c r="AA3" s="13" t="s">
        <v>5</v>
      </c>
      <c r="AB3" s="13" t="s">
        <v>6</v>
      </c>
      <c r="AC3" s="13" t="s">
        <v>7</v>
      </c>
      <c r="AD3" s="13" t="s">
        <v>8</v>
      </c>
      <c r="AE3" s="40"/>
      <c r="AF3" s="40"/>
      <c r="AG3" s="35"/>
      <c r="AH3" s="35"/>
      <c r="AI3" s="14" t="s">
        <v>4</v>
      </c>
      <c r="AJ3" s="14" t="s">
        <v>5</v>
      </c>
      <c r="AK3" s="14" t="s">
        <v>6</v>
      </c>
      <c r="AL3" s="14" t="s">
        <v>7</v>
      </c>
      <c r="AM3" s="14" t="s">
        <v>8</v>
      </c>
      <c r="AN3" s="14" t="s">
        <v>4</v>
      </c>
      <c r="AO3" s="14" t="s">
        <v>5</v>
      </c>
      <c r="AP3" s="14" t="s">
        <v>6</v>
      </c>
      <c r="AQ3" s="14" t="s">
        <v>7</v>
      </c>
      <c r="AR3" s="14" t="s">
        <v>8</v>
      </c>
      <c r="AS3" s="36"/>
      <c r="AT3" s="36"/>
      <c r="AU3" s="34"/>
      <c r="AV3" s="34"/>
      <c r="AW3" s="34"/>
      <c r="AX3" s="34"/>
      <c r="AY3" s="15" t="s">
        <v>4</v>
      </c>
      <c r="AZ3" s="15" t="s">
        <v>5</v>
      </c>
      <c r="BA3" s="15" t="s">
        <v>6</v>
      </c>
      <c r="BB3" s="15" t="s">
        <v>7</v>
      </c>
      <c r="BC3" s="15" t="s">
        <v>8</v>
      </c>
      <c r="BD3" s="15" t="s">
        <v>4</v>
      </c>
      <c r="BE3" s="15" t="s">
        <v>5</v>
      </c>
      <c r="BF3" s="15" t="s">
        <v>6</v>
      </c>
      <c r="BG3" s="15" t="s">
        <v>7</v>
      </c>
      <c r="BH3" s="15" t="s">
        <v>8</v>
      </c>
      <c r="BI3" s="42"/>
      <c r="BJ3" s="42"/>
      <c r="BK3" s="43"/>
      <c r="BL3" s="43"/>
      <c r="BM3" s="31"/>
      <c r="BN3" s="31"/>
      <c r="BO3" s="32"/>
      <c r="BP3" s="33"/>
      <c r="BQ3" s="33"/>
      <c r="BR3" s="41"/>
      <c r="BS3" s="33"/>
      <c r="BT3" s="33"/>
      <c r="BU3" s="37"/>
      <c r="BV3" s="38"/>
      <c r="BW3" s="39"/>
      <c r="BX3" s="39"/>
    </row>
    <row r="4" spans="1:76" x14ac:dyDescent="0.25">
      <c r="A4" s="4">
        <v>1</v>
      </c>
      <c r="B4" s="5" t="s">
        <v>9</v>
      </c>
      <c r="C4" s="5" t="s">
        <v>10</v>
      </c>
      <c r="D4" s="6" t="s">
        <v>11</v>
      </c>
      <c r="E4" s="6" t="s">
        <v>12</v>
      </c>
      <c r="F4" s="7">
        <v>70</v>
      </c>
      <c r="G4" s="7">
        <v>70</v>
      </c>
      <c r="H4" s="7" t="s">
        <v>13</v>
      </c>
      <c r="I4" s="8">
        <v>0</v>
      </c>
      <c r="J4" s="8">
        <v>3</v>
      </c>
      <c r="K4" s="8">
        <v>0</v>
      </c>
      <c r="L4" s="8">
        <v>1</v>
      </c>
      <c r="M4" s="8">
        <v>0</v>
      </c>
      <c r="N4" s="8">
        <v>1</v>
      </c>
      <c r="O4" s="8">
        <v>3</v>
      </c>
      <c r="P4" s="8">
        <v>0</v>
      </c>
      <c r="Q4" s="8">
        <v>1</v>
      </c>
      <c r="R4" s="8">
        <v>0</v>
      </c>
      <c r="S4" s="8">
        <f>([1]Оценивание!I4+(J4*0.875)+(K4*0.75)+(L4*0.625)+(M4*0.5))*1.5</f>
        <v>4.875</v>
      </c>
      <c r="T4" s="8">
        <f>(N4+(O4*0.875)+(P4*0.75)+(Q4*0.625)+(R4*0.5))*1.5</f>
        <v>6.375</v>
      </c>
      <c r="U4" s="8">
        <v>0</v>
      </c>
      <c r="V4" s="8">
        <v>1</v>
      </c>
      <c r="W4" s="8">
        <v>3</v>
      </c>
      <c r="X4" s="8">
        <v>5</v>
      </c>
      <c r="Y4" s="8">
        <v>1</v>
      </c>
      <c r="Z4" s="8">
        <v>0</v>
      </c>
      <c r="AA4" s="8">
        <v>1</v>
      </c>
      <c r="AB4" s="8">
        <v>3</v>
      </c>
      <c r="AC4" s="8">
        <v>5</v>
      </c>
      <c r="AD4" s="8">
        <v>1</v>
      </c>
      <c r="AE4" s="8">
        <f>((U4+(V4*0.875)+(W4*0.75)+(X4*0.625)+(Y4*0.5))*3)*1.2</f>
        <v>24.3</v>
      </c>
      <c r="AF4" s="8">
        <f>((Z4+(AA4*0.875)+(AB4*0.75)+(AC4*0.625)+(AD4*0.5))*3)*1.2</f>
        <v>24.3</v>
      </c>
      <c r="AG4" s="16">
        <f>5*0.8</f>
        <v>4</v>
      </c>
      <c r="AH4" s="16">
        <f>5*0.8</f>
        <v>4</v>
      </c>
      <c r="AI4" s="9">
        <v>0</v>
      </c>
      <c r="AJ4" s="9">
        <v>2</v>
      </c>
      <c r="AK4" s="9">
        <v>0</v>
      </c>
      <c r="AL4" s="9">
        <v>2</v>
      </c>
      <c r="AM4" s="9">
        <v>1</v>
      </c>
      <c r="AN4" s="9">
        <v>2</v>
      </c>
      <c r="AO4" s="9">
        <v>2</v>
      </c>
      <c r="AP4" s="9">
        <v>2</v>
      </c>
      <c r="AQ4" s="9">
        <v>3</v>
      </c>
      <c r="AR4" s="9">
        <v>2</v>
      </c>
      <c r="AS4" s="9">
        <f>((AI4+(AJ4*0.875)+(AK4*0.75)+(AL4*0.625)+(AM4*0.5))*2)*0.8</f>
        <v>5.6000000000000005</v>
      </c>
      <c r="AT4" s="9">
        <f>((AN4+(AO4*0.875)+(AP4*0.75)+(AQ4*0.625)+(AR4*0.5))*2)*0.8</f>
        <v>13</v>
      </c>
      <c r="AU4" s="17">
        <f>4*1.3</f>
        <v>5.2</v>
      </c>
      <c r="AV4" s="17">
        <f>4*1.3</f>
        <v>5.2</v>
      </c>
      <c r="AW4" s="17">
        <v>1.4</v>
      </c>
      <c r="AX4" s="17">
        <v>1.4</v>
      </c>
      <c r="AY4" s="10">
        <v>0</v>
      </c>
      <c r="AZ4" s="10">
        <v>0</v>
      </c>
      <c r="BA4" s="10">
        <v>3</v>
      </c>
      <c r="BB4" s="10">
        <v>5</v>
      </c>
      <c r="BC4" s="10">
        <v>2</v>
      </c>
      <c r="BD4" s="10">
        <v>1</v>
      </c>
      <c r="BE4" s="10">
        <v>0</v>
      </c>
      <c r="BF4" s="10">
        <v>3</v>
      </c>
      <c r="BG4" s="10">
        <v>5</v>
      </c>
      <c r="BH4" s="10">
        <v>2</v>
      </c>
      <c r="BI4" s="10">
        <f>((AY4+(AZ4*0.875)+(BA4*0.75)+(BB4*0.625)+(BC4*0.5))*2)*1.6</f>
        <v>20.400000000000002</v>
      </c>
      <c r="BJ4" s="10">
        <f>((BD4+(BE4*0.875)+(BF4*0.75)+(BG4*0.625)+(BH4*0.5))*2)*1.6</f>
        <v>23.6</v>
      </c>
      <c r="BK4" s="16">
        <v>0.66860357693344197</v>
      </c>
      <c r="BL4" s="16">
        <v>0.64758282282734458</v>
      </c>
      <c r="BM4" s="18">
        <v>23.5</v>
      </c>
      <c r="BN4" s="18">
        <v>41.1</v>
      </c>
      <c r="BO4" s="19">
        <f>BN4/(BM4*1.37)</f>
        <v>1.2765957446808511</v>
      </c>
      <c r="BP4" s="3">
        <f t="shared" ref="BP4:BQ14" si="0">S4+AE4+AG4+AS4+(AU4*2)+AW4+BI4</f>
        <v>70.974999999999994</v>
      </c>
      <c r="BQ4" s="3">
        <f t="shared" si="0"/>
        <v>83.074999999999989</v>
      </c>
      <c r="BR4" s="3">
        <f>BQ4-BP4</f>
        <v>12.099999999999994</v>
      </c>
      <c r="BS4" s="20">
        <f>(BR4-$BS$18)/($BS$19-$BS$18)</f>
        <v>0.21827099938687902</v>
      </c>
      <c r="BT4" s="20">
        <f t="shared" ref="BT4:BT14" si="1">BR4/G4</f>
        <v>0.17285714285714276</v>
      </c>
      <c r="BU4" s="20">
        <f>BT4/BO4</f>
        <v>0.13540476190476183</v>
      </c>
      <c r="BV4" s="21">
        <f>AVERAGE(BS4:BU4)</f>
        <v>0.17551096804959454</v>
      </c>
      <c r="BW4" s="3">
        <f>BR4*BK4</f>
        <v>8.0901032808946436</v>
      </c>
      <c r="BX4" s="3">
        <f>BR4*BL4</f>
        <v>7.8357521562108658</v>
      </c>
    </row>
    <row r="5" spans="1:76" x14ac:dyDescent="0.25">
      <c r="A5" s="4">
        <v>2</v>
      </c>
      <c r="B5" s="5" t="s">
        <v>14</v>
      </c>
      <c r="C5" s="5" t="s">
        <v>15</v>
      </c>
      <c r="D5" s="6" t="s">
        <v>16</v>
      </c>
      <c r="E5" s="6" t="s">
        <v>12</v>
      </c>
      <c r="F5" s="7">
        <v>45</v>
      </c>
      <c r="G5" s="7">
        <v>53.07</v>
      </c>
      <c r="H5" s="7" t="s">
        <v>17</v>
      </c>
      <c r="I5" s="8">
        <v>0</v>
      </c>
      <c r="J5" s="8">
        <v>0</v>
      </c>
      <c r="K5" s="8">
        <v>1</v>
      </c>
      <c r="L5" s="8">
        <v>1</v>
      </c>
      <c r="M5" s="8">
        <v>0</v>
      </c>
      <c r="N5" s="8">
        <v>0</v>
      </c>
      <c r="O5" s="8">
        <v>0</v>
      </c>
      <c r="P5" s="8">
        <v>1</v>
      </c>
      <c r="Q5" s="8">
        <v>1</v>
      </c>
      <c r="R5" s="8">
        <v>0</v>
      </c>
      <c r="S5" s="8">
        <f>(I5+(J5*0.875)+(K5*0.75)+(L5*0.625)+(M5*0.5))*1.5</f>
        <v>2.0625</v>
      </c>
      <c r="T5" s="8">
        <f t="shared" ref="T5:T6" si="2">(N5+(O5*0.875)+(P5*0.75)+(Q5*0.625)+(R5*0.5))*1.5</f>
        <v>2.0625</v>
      </c>
      <c r="U5" s="8">
        <v>0</v>
      </c>
      <c r="V5" s="8">
        <v>1</v>
      </c>
      <c r="W5" s="8">
        <v>4</v>
      </c>
      <c r="X5" s="8">
        <v>1</v>
      </c>
      <c r="Y5" s="8">
        <v>0</v>
      </c>
      <c r="Z5" s="8">
        <v>2</v>
      </c>
      <c r="AA5" s="8">
        <v>1</v>
      </c>
      <c r="AB5" s="8">
        <v>4</v>
      </c>
      <c r="AC5" s="8">
        <v>1</v>
      </c>
      <c r="AD5" s="8">
        <v>0</v>
      </c>
      <c r="AE5" s="8">
        <f t="shared" ref="AE5" si="3">((U5+(V5*0.875)+(W5*0.75)+(X5*0.625)+(Y5*0.5))*3)*1.2</f>
        <v>16.2</v>
      </c>
      <c r="AF5" s="8">
        <f t="shared" ref="AF5:AF6" si="4">((Z5+(AA5*0.875)+(AB5*0.75)+(AC5*0.625)+(AD5*0.5))*3)*1.2</f>
        <v>23.4</v>
      </c>
      <c r="AG5" s="16">
        <f>3*0.8</f>
        <v>2.4000000000000004</v>
      </c>
      <c r="AH5" s="16">
        <f>3*0.8</f>
        <v>2.4000000000000004</v>
      </c>
      <c r="AI5" s="9">
        <v>0</v>
      </c>
      <c r="AJ5" s="9">
        <v>0</v>
      </c>
      <c r="AK5" s="9">
        <v>3</v>
      </c>
      <c r="AL5" s="9">
        <v>2</v>
      </c>
      <c r="AM5" s="9">
        <v>0</v>
      </c>
      <c r="AN5" s="9">
        <v>0</v>
      </c>
      <c r="AO5" s="9">
        <v>0</v>
      </c>
      <c r="AP5" s="9">
        <v>4</v>
      </c>
      <c r="AQ5" s="9">
        <v>3</v>
      </c>
      <c r="AR5" s="9">
        <v>0</v>
      </c>
      <c r="AS5" s="9">
        <f t="shared" ref="AS5:AS6" si="5">((AI5+(AJ5*0.875)+(AK5*0.75)+(AL5*0.625)+(AM5*0.5))*2)*0.8</f>
        <v>5.6000000000000005</v>
      </c>
      <c r="AT5" s="9">
        <f t="shared" ref="AT5:AT6" si="6">((AN5+(AO5*0.875)+(AP5*0.75)+(AQ5*0.625)+(AR5*0.5))*2)*0.8</f>
        <v>7.8000000000000007</v>
      </c>
      <c r="AU5" s="17">
        <v>0</v>
      </c>
      <c r="AV5" s="17">
        <v>0</v>
      </c>
      <c r="AW5" s="17">
        <v>1.4</v>
      </c>
      <c r="AX5" s="17">
        <v>1.4</v>
      </c>
      <c r="AY5" s="10">
        <v>0</v>
      </c>
      <c r="AZ5" s="10">
        <v>1</v>
      </c>
      <c r="BA5" s="10">
        <v>1</v>
      </c>
      <c r="BB5" s="10">
        <v>3</v>
      </c>
      <c r="BC5" s="10">
        <v>0</v>
      </c>
      <c r="BD5" s="10">
        <v>1</v>
      </c>
      <c r="BE5" s="10">
        <v>1</v>
      </c>
      <c r="BF5" s="10">
        <v>1</v>
      </c>
      <c r="BG5" s="10">
        <v>3</v>
      </c>
      <c r="BH5" s="10">
        <v>0</v>
      </c>
      <c r="BI5" s="10">
        <f t="shared" ref="BI5:BI6" si="7">((AY5+(AZ5*0.875)+(BA5*0.75)+(BB5*0.625)+(BC5*0.5))*2)*1.6</f>
        <v>11.200000000000001</v>
      </c>
      <c r="BJ5" s="10">
        <f t="shared" ref="BJ5:BJ6" si="8">((BD5+(BE5*0.875)+(BF5*0.75)+(BG5*0.625)+(BH5*0.5))*2)*1.6</f>
        <v>14.4</v>
      </c>
      <c r="BK5" s="16"/>
      <c r="BL5" s="16"/>
      <c r="BM5" s="18">
        <v>26.2</v>
      </c>
      <c r="BN5" s="18">
        <v>43.9</v>
      </c>
      <c r="BO5" s="19">
        <f t="shared" ref="BO5:BO14" si="9">BN5/(BM5*1.37)</f>
        <v>1.2230456343678608</v>
      </c>
      <c r="BP5" s="3">
        <f t="shared" si="0"/>
        <v>38.862500000000004</v>
      </c>
      <c r="BQ5" s="3">
        <f t="shared" si="0"/>
        <v>51.462499999999991</v>
      </c>
      <c r="BR5" s="3">
        <f>BQ5-BP5</f>
        <v>12.599999999999987</v>
      </c>
      <c r="BS5" s="20">
        <f t="shared" ref="BS5:BS14" si="10">(BR5-$BS$18)/($BS$19-$BS$18)</f>
        <v>0.23053341508277092</v>
      </c>
      <c r="BT5" s="20">
        <f t="shared" si="1"/>
        <v>0.23742227247032197</v>
      </c>
      <c r="BU5" s="20">
        <f t="shared" ref="BU5:BU14" si="11">BT5/BO5</f>
        <v>0.19412380519475483</v>
      </c>
      <c r="BV5" s="21">
        <f t="shared" ref="BV5:BV14" si="12">AVERAGE(BS5:BU5)</f>
        <v>0.22069316424928256</v>
      </c>
      <c r="BW5" s="3">
        <f t="shared" ref="BW5:BW14" si="13">BR5*BK5</f>
        <v>0</v>
      </c>
      <c r="BX5" s="3">
        <f t="shared" ref="BX5:BX14" si="14">BR5*BL5</f>
        <v>0</v>
      </c>
    </row>
    <row r="6" spans="1:76" x14ac:dyDescent="0.25">
      <c r="A6" s="4">
        <v>3</v>
      </c>
      <c r="B6" s="5" t="s">
        <v>18</v>
      </c>
      <c r="C6" s="5" t="s">
        <v>15</v>
      </c>
      <c r="D6" s="6" t="s">
        <v>19</v>
      </c>
      <c r="E6" s="6" t="s">
        <v>12</v>
      </c>
      <c r="F6" s="7">
        <v>90</v>
      </c>
      <c r="G6" s="7">
        <v>109.3</v>
      </c>
      <c r="H6" s="7" t="s">
        <v>20</v>
      </c>
      <c r="I6" s="8">
        <v>0</v>
      </c>
      <c r="J6" s="8">
        <v>1</v>
      </c>
      <c r="K6" s="8">
        <v>0</v>
      </c>
      <c r="L6" s="8">
        <v>0</v>
      </c>
      <c r="M6" s="8">
        <v>0</v>
      </c>
      <c r="N6" s="8">
        <v>2</v>
      </c>
      <c r="O6" s="8">
        <v>2</v>
      </c>
      <c r="P6" s="8">
        <v>1</v>
      </c>
      <c r="Q6" s="8">
        <v>1</v>
      </c>
      <c r="R6" s="8">
        <v>0</v>
      </c>
      <c r="S6" s="8">
        <f>(I6+(J6*0.875)+(K6*0.75)+(L6*0.625)+(M6*0.5))*1.5</f>
        <v>1.3125</v>
      </c>
      <c r="T6" s="8">
        <f t="shared" si="2"/>
        <v>7.6875</v>
      </c>
      <c r="U6" s="8">
        <v>0</v>
      </c>
      <c r="V6" s="8">
        <v>0</v>
      </c>
      <c r="W6" s="8">
        <v>0</v>
      </c>
      <c r="X6" s="8">
        <v>0</v>
      </c>
      <c r="Y6" s="8">
        <v>1</v>
      </c>
      <c r="Z6" s="8">
        <v>1</v>
      </c>
      <c r="AA6" s="8">
        <v>4</v>
      </c>
      <c r="AB6" s="8">
        <v>2</v>
      </c>
      <c r="AC6" s="8">
        <v>0</v>
      </c>
      <c r="AD6" s="8">
        <v>1</v>
      </c>
      <c r="AE6" s="8">
        <f>((U6+(V6*0.875)+(W6*0.75)+(X6*0.625)+(Y6*0.5))*3)*1.2</f>
        <v>1.7999999999999998</v>
      </c>
      <c r="AF6" s="8">
        <f t="shared" si="4"/>
        <v>23.4</v>
      </c>
      <c r="AG6" s="16">
        <v>0</v>
      </c>
      <c r="AH6" s="16">
        <v>0</v>
      </c>
      <c r="AI6" s="9">
        <v>0</v>
      </c>
      <c r="AJ6" s="9">
        <v>0</v>
      </c>
      <c r="AK6" s="9">
        <v>0</v>
      </c>
      <c r="AL6" s="9">
        <v>0</v>
      </c>
      <c r="AM6" s="9">
        <v>3</v>
      </c>
      <c r="AN6" s="9">
        <v>0</v>
      </c>
      <c r="AO6" s="9">
        <v>0</v>
      </c>
      <c r="AP6" s="9">
        <v>2</v>
      </c>
      <c r="AQ6" s="9">
        <v>0</v>
      </c>
      <c r="AR6" s="9">
        <v>3</v>
      </c>
      <c r="AS6" s="9">
        <f t="shared" si="5"/>
        <v>2.4000000000000004</v>
      </c>
      <c r="AT6" s="9">
        <f t="shared" si="6"/>
        <v>4.8000000000000007</v>
      </c>
      <c r="AU6" s="17">
        <v>1</v>
      </c>
      <c r="AV6" s="17">
        <v>2</v>
      </c>
      <c r="AW6" s="17">
        <v>0</v>
      </c>
      <c r="AX6" s="17">
        <f>4*1.4</f>
        <v>5.6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1</v>
      </c>
      <c r="BE6" s="10">
        <v>1</v>
      </c>
      <c r="BF6" s="10">
        <v>0</v>
      </c>
      <c r="BG6" s="10">
        <v>0</v>
      </c>
      <c r="BH6" s="10">
        <v>0</v>
      </c>
      <c r="BI6" s="10">
        <f t="shared" si="7"/>
        <v>0</v>
      </c>
      <c r="BJ6" s="10">
        <f t="shared" si="8"/>
        <v>6</v>
      </c>
      <c r="BK6" s="16"/>
      <c r="BL6" s="16"/>
      <c r="BM6" s="18">
        <v>26.2</v>
      </c>
      <c r="BN6" s="18">
        <v>43.9</v>
      </c>
      <c r="BO6" s="19">
        <f t="shared" si="9"/>
        <v>1.2230456343678608</v>
      </c>
      <c r="BP6" s="3">
        <f t="shared" si="0"/>
        <v>7.5125000000000002</v>
      </c>
      <c r="BQ6" s="3">
        <f t="shared" si="0"/>
        <v>51.487500000000004</v>
      </c>
      <c r="BR6" s="3">
        <f t="shared" ref="BR6:BR14" si="15">BQ6-BP6</f>
        <v>43.975000000000001</v>
      </c>
      <c r="BS6" s="20">
        <f t="shared" si="10"/>
        <v>1</v>
      </c>
      <c r="BT6" s="20">
        <f t="shared" si="1"/>
        <v>0.40233302836230561</v>
      </c>
      <c r="BU6" s="20">
        <f t="shared" si="11"/>
        <v>0.32895994806461498</v>
      </c>
      <c r="BV6" s="21">
        <f t="shared" si="12"/>
        <v>0.57709765880897357</v>
      </c>
      <c r="BW6" s="3">
        <f t="shared" si="13"/>
        <v>0</v>
      </c>
      <c r="BX6" s="3">
        <f t="shared" si="14"/>
        <v>0</v>
      </c>
    </row>
    <row r="7" spans="1:76" ht="25.5" x14ac:dyDescent="0.25">
      <c r="A7" s="4">
        <v>4</v>
      </c>
      <c r="B7" s="5" t="s">
        <v>21</v>
      </c>
      <c r="C7" s="5" t="s">
        <v>22</v>
      </c>
      <c r="D7" s="6" t="s">
        <v>23</v>
      </c>
      <c r="E7" s="6" t="s">
        <v>12</v>
      </c>
      <c r="F7" s="7">
        <v>70</v>
      </c>
      <c r="G7" s="7">
        <v>70</v>
      </c>
      <c r="H7" s="7" t="s">
        <v>24</v>
      </c>
      <c r="I7" s="8">
        <v>1</v>
      </c>
      <c r="J7" s="8">
        <v>1</v>
      </c>
      <c r="K7" s="8">
        <v>0</v>
      </c>
      <c r="L7" s="8">
        <v>0</v>
      </c>
      <c r="M7" s="8">
        <v>2</v>
      </c>
      <c r="N7" s="8">
        <v>3</v>
      </c>
      <c r="O7" s="8">
        <v>1</v>
      </c>
      <c r="P7" s="8">
        <v>0</v>
      </c>
      <c r="Q7" s="8">
        <v>0</v>
      </c>
      <c r="R7" s="8">
        <v>2</v>
      </c>
      <c r="S7" s="8">
        <f>(I7+(J7*0.875)+(K7*0.75)+(L7*0.625)+(M7*0.5))*1.5</f>
        <v>4.3125</v>
      </c>
      <c r="T7" s="8">
        <f>(N7+(O7*0.875)+(P7*0.75)+(Q7*0.625)+(R7*0.5))*1.5</f>
        <v>7.3125</v>
      </c>
      <c r="U7" s="8">
        <v>0</v>
      </c>
      <c r="V7" s="8">
        <v>3</v>
      </c>
      <c r="W7" s="8">
        <v>0</v>
      </c>
      <c r="X7" s="8">
        <v>0</v>
      </c>
      <c r="Y7" s="8">
        <v>0</v>
      </c>
      <c r="Z7" s="8">
        <v>3</v>
      </c>
      <c r="AA7" s="8">
        <v>3</v>
      </c>
      <c r="AB7" s="8">
        <v>0</v>
      </c>
      <c r="AC7" s="8">
        <v>0</v>
      </c>
      <c r="AD7" s="8">
        <v>0</v>
      </c>
      <c r="AE7" s="8">
        <f>((U7+(V7*0.875)+(W7*0.75)+(X7*0.625)+(Y7*0.5))*3)*1.2</f>
        <v>9.4499999999999993</v>
      </c>
      <c r="AF7" s="8">
        <f>((Z7+(AA7*0.875)+(AB7*0.75)+(AC7*0.625)+(AD7*0.5))*3)*1.2</f>
        <v>20.25</v>
      </c>
      <c r="AG7" s="16">
        <v>0.8</v>
      </c>
      <c r="AH7" s="16">
        <v>0.8</v>
      </c>
      <c r="AI7" s="9">
        <v>1</v>
      </c>
      <c r="AJ7" s="9">
        <v>1</v>
      </c>
      <c r="AK7" s="9">
        <v>2</v>
      </c>
      <c r="AL7" s="9">
        <v>3</v>
      </c>
      <c r="AM7" s="9">
        <v>0</v>
      </c>
      <c r="AN7" s="9">
        <v>1</v>
      </c>
      <c r="AO7" s="9">
        <v>1</v>
      </c>
      <c r="AP7" s="9">
        <v>3</v>
      </c>
      <c r="AQ7" s="9">
        <v>5</v>
      </c>
      <c r="AR7" s="9">
        <v>0</v>
      </c>
      <c r="AS7" s="9">
        <f>((AI7+(AJ7*0.875)+(AK7*0.75)+(AL7*0.625)+(AM7*0.5))*2)*0.8</f>
        <v>8.4</v>
      </c>
      <c r="AT7" s="9">
        <f>((AN7+(AO7*0.875)+(AP7*0.75)+(AQ7*0.625)+(AR7*0.5))*2)*0.8</f>
        <v>11.600000000000001</v>
      </c>
      <c r="AU7" s="17">
        <f>10*1.3</f>
        <v>13</v>
      </c>
      <c r="AV7" s="17">
        <f>10*1.3</f>
        <v>13</v>
      </c>
      <c r="AW7" s="17">
        <v>1.4</v>
      </c>
      <c r="AX7" s="17">
        <v>4.2</v>
      </c>
      <c r="AY7" s="10">
        <v>0</v>
      </c>
      <c r="AZ7" s="10">
        <v>3</v>
      </c>
      <c r="BA7" s="10">
        <v>3</v>
      </c>
      <c r="BB7" s="10">
        <v>5</v>
      </c>
      <c r="BC7" s="10">
        <v>4</v>
      </c>
      <c r="BD7" s="10">
        <v>0</v>
      </c>
      <c r="BE7" s="10">
        <v>3</v>
      </c>
      <c r="BF7" s="10">
        <v>3</v>
      </c>
      <c r="BG7" s="10">
        <v>5</v>
      </c>
      <c r="BH7" s="10">
        <v>4</v>
      </c>
      <c r="BI7" s="10">
        <f>((AY7+(AZ7*0.875)+(BA7*0.75)+(BB7*0.625)+(BC7*0.5))*2)*1.6</f>
        <v>32</v>
      </c>
      <c r="BJ7" s="10">
        <f>((BD7+(BE7*0.875)+(BF7*0.75)+(BG7*0.625)+(BH7*0.5))*2)*1.6</f>
        <v>32</v>
      </c>
      <c r="BK7" s="16"/>
      <c r="BL7" s="16"/>
      <c r="BM7" s="18">
        <v>19.899999999999999</v>
      </c>
      <c r="BN7" s="18">
        <v>31.9</v>
      </c>
      <c r="BO7" s="19">
        <f t="shared" si="9"/>
        <v>1.170083996625463</v>
      </c>
      <c r="BP7" s="3">
        <f t="shared" si="0"/>
        <v>82.362499999999997</v>
      </c>
      <c r="BQ7" s="3">
        <f t="shared" si="0"/>
        <v>102.16250000000001</v>
      </c>
      <c r="BR7" s="3">
        <f t="shared" si="15"/>
        <v>19.800000000000011</v>
      </c>
      <c r="BS7" s="20">
        <f t="shared" si="10"/>
        <v>0.40711220110361762</v>
      </c>
      <c r="BT7" s="20">
        <f t="shared" si="1"/>
        <v>0.28285714285714303</v>
      </c>
      <c r="BU7" s="20">
        <f t="shared" si="11"/>
        <v>0.24174088669950755</v>
      </c>
      <c r="BV7" s="21">
        <f t="shared" si="12"/>
        <v>0.31057007688675603</v>
      </c>
      <c r="BW7" s="3">
        <f t="shared" si="13"/>
        <v>0</v>
      </c>
      <c r="BX7" s="3">
        <f t="shared" si="14"/>
        <v>0</v>
      </c>
    </row>
    <row r="8" spans="1:76" ht="25.5" x14ac:dyDescent="0.25">
      <c r="A8" s="4">
        <v>5</v>
      </c>
      <c r="B8" s="5" t="s">
        <v>25</v>
      </c>
      <c r="C8" s="5" t="s">
        <v>26</v>
      </c>
      <c r="D8" s="6" t="s">
        <v>27</v>
      </c>
      <c r="E8" s="6" t="s">
        <v>12</v>
      </c>
      <c r="F8" s="7">
        <v>44.5</v>
      </c>
      <c r="G8" s="7">
        <v>79.7</v>
      </c>
      <c r="H8" s="22" t="s">
        <v>28</v>
      </c>
      <c r="I8" s="8">
        <v>1</v>
      </c>
      <c r="J8" s="8">
        <v>1</v>
      </c>
      <c r="K8" s="8">
        <v>3</v>
      </c>
      <c r="L8" s="8">
        <v>0</v>
      </c>
      <c r="M8" s="8">
        <v>0</v>
      </c>
      <c r="N8" s="8">
        <v>1</v>
      </c>
      <c r="O8" s="8">
        <v>1</v>
      </c>
      <c r="P8" s="8">
        <v>3</v>
      </c>
      <c r="Q8" s="8">
        <v>0</v>
      </c>
      <c r="R8" s="8">
        <v>0</v>
      </c>
      <c r="S8" s="8">
        <f>(I8+(J8*0.875)+(K8*0.75)+(L8*0.625)+(M8*0.5))*1.5</f>
        <v>6.1875</v>
      </c>
      <c r="T8" s="8">
        <f>(N8+(O8*0.875)+(P8*0.75)+(Q8*0.625)+(R8*0.5))*1.5</f>
        <v>6.1875</v>
      </c>
      <c r="U8" s="8">
        <v>8</v>
      </c>
      <c r="V8" s="8">
        <v>16</v>
      </c>
      <c r="W8" s="8">
        <v>6</v>
      </c>
      <c r="X8" s="8">
        <v>2</v>
      </c>
      <c r="Y8" s="8">
        <v>1</v>
      </c>
      <c r="Z8" s="8">
        <v>14</v>
      </c>
      <c r="AA8" s="8">
        <v>16</v>
      </c>
      <c r="AB8" s="8">
        <v>6</v>
      </c>
      <c r="AC8" s="8">
        <v>2</v>
      </c>
      <c r="AD8" s="8">
        <v>1</v>
      </c>
      <c r="AE8" s="8">
        <f>((U8+(V8*0.875)+(W8*0.75)+(X8*0.625)+(Y8*0.5))*3)*1.2</f>
        <v>101.7</v>
      </c>
      <c r="AF8" s="8">
        <f>((Z8+(AA8*0.875)+(AB8*0.75)+(AC8*0.625)+(AD8*0.5))*3)*1.2</f>
        <v>123.3</v>
      </c>
      <c r="AG8" s="16">
        <f>0.8*15</f>
        <v>12</v>
      </c>
      <c r="AH8" s="16">
        <f>0.8*15</f>
        <v>12</v>
      </c>
      <c r="AI8" s="9">
        <v>8</v>
      </c>
      <c r="AJ8" s="9">
        <v>9</v>
      </c>
      <c r="AK8" s="9">
        <v>0</v>
      </c>
      <c r="AL8" s="9">
        <v>1</v>
      </c>
      <c r="AM8" s="9">
        <v>0</v>
      </c>
      <c r="AN8" s="9">
        <v>15</v>
      </c>
      <c r="AO8" s="9">
        <v>10</v>
      </c>
      <c r="AP8" s="9">
        <v>1</v>
      </c>
      <c r="AQ8" s="9">
        <v>5</v>
      </c>
      <c r="AR8" s="9">
        <v>0</v>
      </c>
      <c r="AS8" s="9">
        <f>((AI8+(AJ8*0.875)+(AK8*0.75)+(AL8*0.625)+(AM8*0.5))*2)*0.8</f>
        <v>26.400000000000002</v>
      </c>
      <c r="AT8" s="9">
        <f>((AN8+(AO8*0.875)+(AP8*0.75)+(AQ8*0.625)+(AR8*0.5))*2)*0.8</f>
        <v>44.2</v>
      </c>
      <c r="AU8" s="17">
        <f>5*1.3</f>
        <v>6.5</v>
      </c>
      <c r="AV8" s="17">
        <f>5*1.3</f>
        <v>6.5</v>
      </c>
      <c r="AW8" s="17">
        <f>13*1.4</f>
        <v>18.2</v>
      </c>
      <c r="AX8" s="17">
        <f>13*1.4</f>
        <v>18.2</v>
      </c>
      <c r="AY8" s="10">
        <v>0</v>
      </c>
      <c r="AZ8" s="10">
        <v>7</v>
      </c>
      <c r="BA8" s="10">
        <v>8</v>
      </c>
      <c r="BB8" s="10">
        <v>4</v>
      </c>
      <c r="BC8" s="10">
        <v>0</v>
      </c>
      <c r="BD8" s="10">
        <v>0</v>
      </c>
      <c r="BE8" s="10">
        <v>7</v>
      </c>
      <c r="BF8" s="10">
        <v>8</v>
      </c>
      <c r="BG8" s="10">
        <v>4</v>
      </c>
      <c r="BH8" s="10">
        <v>0</v>
      </c>
      <c r="BI8" s="10">
        <f>((AY8+(AZ8*0.875)+(BA8*0.75)+(BB8*0.625)+(BC8*0.5))*2)*1.6</f>
        <v>46.800000000000004</v>
      </c>
      <c r="BJ8" s="10">
        <f>((BD8+(BE8*0.875)+(BF8*0.75)+(BG8*0.625)+(BH8*0.5))*2)*1.6</f>
        <v>46.800000000000004</v>
      </c>
      <c r="BK8" s="16"/>
      <c r="BL8" s="16"/>
      <c r="BM8" s="18">
        <v>23.9</v>
      </c>
      <c r="BN8" s="18">
        <v>45.5</v>
      </c>
      <c r="BO8" s="19">
        <f t="shared" si="9"/>
        <v>1.3896099929755978</v>
      </c>
      <c r="BP8" s="3">
        <f t="shared" si="0"/>
        <v>224.28749999999999</v>
      </c>
      <c r="BQ8" s="3">
        <f t="shared" si="0"/>
        <v>263.6875</v>
      </c>
      <c r="BR8" s="3">
        <f t="shared" si="15"/>
        <v>39.400000000000006</v>
      </c>
      <c r="BS8" s="20">
        <f t="shared" si="10"/>
        <v>0.88779889638258747</v>
      </c>
      <c r="BT8" s="20">
        <f t="shared" si="1"/>
        <v>0.49435382685069013</v>
      </c>
      <c r="BU8" s="20">
        <f t="shared" si="11"/>
        <v>0.35575005170488233</v>
      </c>
      <c r="BV8" s="21">
        <f t="shared" si="12"/>
        <v>0.57930092497938668</v>
      </c>
      <c r="BW8" s="3">
        <f t="shared" si="13"/>
        <v>0</v>
      </c>
      <c r="BX8" s="3">
        <f t="shared" si="14"/>
        <v>0</v>
      </c>
    </row>
    <row r="9" spans="1:76" x14ac:dyDescent="0.25">
      <c r="A9" s="4">
        <v>6</v>
      </c>
      <c r="B9" s="5" t="s">
        <v>29</v>
      </c>
      <c r="C9" s="5" t="s">
        <v>30</v>
      </c>
      <c r="D9" s="6" t="s">
        <v>31</v>
      </c>
      <c r="E9" s="6" t="s">
        <v>12</v>
      </c>
      <c r="F9" s="7">
        <v>70</v>
      </c>
      <c r="G9" s="7">
        <v>517.17999999999995</v>
      </c>
      <c r="H9" s="7" t="s">
        <v>32</v>
      </c>
      <c r="I9" s="8">
        <v>0</v>
      </c>
      <c r="J9" s="8">
        <v>2</v>
      </c>
      <c r="K9" s="8">
        <v>0</v>
      </c>
      <c r="L9" s="8">
        <v>0</v>
      </c>
      <c r="M9" s="8">
        <v>0</v>
      </c>
      <c r="N9" s="8">
        <v>1</v>
      </c>
      <c r="O9" s="8">
        <v>2</v>
      </c>
      <c r="P9" s="8">
        <v>0</v>
      </c>
      <c r="Q9" s="8">
        <v>0</v>
      </c>
      <c r="R9" s="8">
        <v>0</v>
      </c>
      <c r="S9" s="8">
        <f>(I9+(J9*0.875)+(K9*0.75)+(L9*0.625)+(M9*0.5))*1.5</f>
        <v>2.625</v>
      </c>
      <c r="T9" s="8">
        <f>(N9+(O9*0.875)+(P9*0.75)+(Q9*0.625)+(R9*0.5))*1.5</f>
        <v>4.125</v>
      </c>
      <c r="U9" s="8">
        <v>4</v>
      </c>
      <c r="V9" s="8">
        <v>9</v>
      </c>
      <c r="W9" s="8">
        <v>2</v>
      </c>
      <c r="X9" s="8">
        <v>2</v>
      </c>
      <c r="Y9" s="8">
        <v>1</v>
      </c>
      <c r="Z9" s="8">
        <v>6</v>
      </c>
      <c r="AA9" s="8">
        <v>9</v>
      </c>
      <c r="AB9" s="8">
        <v>2</v>
      </c>
      <c r="AC9" s="8">
        <v>2</v>
      </c>
      <c r="AD9" s="8">
        <v>1</v>
      </c>
      <c r="AE9" s="8">
        <f>((U9+(V9*0.875)+(W9*0.75)+(X9*0.625)+(Y9*0.5))*3)*1.2</f>
        <v>54.449999999999996</v>
      </c>
      <c r="AF9" s="8">
        <f>((Z9+(AA9*0.875)+(AB9*0.75)+(AC9*0.625)+(AD9*0.5))*3)*1.2</f>
        <v>61.65</v>
      </c>
      <c r="AG9" s="16">
        <f>0.8*7</f>
        <v>5.6000000000000005</v>
      </c>
      <c r="AH9" s="16">
        <f>0.8*7</f>
        <v>5.6000000000000005</v>
      </c>
      <c r="AI9" s="9">
        <v>6</v>
      </c>
      <c r="AJ9" s="9">
        <v>17</v>
      </c>
      <c r="AK9" s="9">
        <v>10</v>
      </c>
      <c r="AL9" s="9">
        <v>4</v>
      </c>
      <c r="AM9" s="9">
        <v>0</v>
      </c>
      <c r="AN9" s="9">
        <v>11</v>
      </c>
      <c r="AO9" s="9">
        <v>19</v>
      </c>
      <c r="AP9" s="9">
        <v>13</v>
      </c>
      <c r="AQ9" s="9">
        <v>4</v>
      </c>
      <c r="AR9" s="9">
        <v>0</v>
      </c>
      <c r="AS9" s="9">
        <f>((AI9+(AJ9*0.875)+(AK9*0.75)+(AL9*0.625)+(AM9*0.5))*2)*0.8</f>
        <v>49.400000000000006</v>
      </c>
      <c r="AT9" s="9">
        <f>((AN9+(AO9*0.875)+(AP9*0.75)+(AQ9*0.625)+(AR9*0.5))*2)*0.8</f>
        <v>63.800000000000004</v>
      </c>
      <c r="AU9" s="17">
        <f>7*1.3</f>
        <v>9.1</v>
      </c>
      <c r="AV9" s="17">
        <f>7*1.3</f>
        <v>9.1</v>
      </c>
      <c r="AW9" s="17">
        <f>1.4*13</f>
        <v>18.2</v>
      </c>
      <c r="AX9" s="17">
        <f>1.4*18</f>
        <v>25.2</v>
      </c>
      <c r="AY9" s="10">
        <v>6</v>
      </c>
      <c r="AZ9" s="10">
        <v>6</v>
      </c>
      <c r="BA9" s="10">
        <v>2</v>
      </c>
      <c r="BB9" s="10">
        <v>0</v>
      </c>
      <c r="BC9" s="10">
        <v>2</v>
      </c>
      <c r="BD9" s="10">
        <v>7</v>
      </c>
      <c r="BE9" s="10">
        <v>6</v>
      </c>
      <c r="BF9" s="10">
        <v>4</v>
      </c>
      <c r="BG9" s="10">
        <v>0</v>
      </c>
      <c r="BH9" s="10">
        <v>2</v>
      </c>
      <c r="BI9" s="10">
        <f>((AY9+(AZ9*0.875)+(BA9*0.75)+(BB9*0.625)+(BC9*0.5))*2)*1.6</f>
        <v>44</v>
      </c>
      <c r="BJ9" s="10">
        <f>((BD9+(BE9*0.875)+(BF9*0.75)+(BG9*0.625)+(BH9*0.5))*2)*1.6</f>
        <v>52</v>
      </c>
      <c r="BK9" s="16"/>
      <c r="BL9" s="16"/>
      <c r="BM9" s="18">
        <v>44.1</v>
      </c>
      <c r="BN9" s="18">
        <v>66.900000000000006</v>
      </c>
      <c r="BO9" s="19">
        <f t="shared" si="9"/>
        <v>1.1073042355628382</v>
      </c>
      <c r="BP9" s="3">
        <f t="shared" si="0"/>
        <v>192.47499999999999</v>
      </c>
      <c r="BQ9" s="3">
        <f t="shared" si="0"/>
        <v>230.57499999999999</v>
      </c>
      <c r="BR9" s="3">
        <f t="shared" si="15"/>
        <v>38.099999999999994</v>
      </c>
      <c r="BS9" s="20">
        <f t="shared" si="10"/>
        <v>0.8559166155732677</v>
      </c>
      <c r="BT9" s="20">
        <f t="shared" si="1"/>
        <v>7.3668742024053518E-2</v>
      </c>
      <c r="BU9" s="20">
        <f t="shared" si="11"/>
        <v>6.6529811462888513E-2</v>
      </c>
      <c r="BV9" s="21">
        <f t="shared" si="12"/>
        <v>0.33203838968673655</v>
      </c>
      <c r="BW9" s="3">
        <f t="shared" si="13"/>
        <v>0</v>
      </c>
      <c r="BX9" s="3">
        <f t="shared" si="14"/>
        <v>0</v>
      </c>
    </row>
    <row r="10" spans="1:76" x14ac:dyDescent="0.25">
      <c r="A10" s="4">
        <v>7</v>
      </c>
      <c r="B10" s="5" t="s">
        <v>33</v>
      </c>
      <c r="C10" s="5" t="s">
        <v>34</v>
      </c>
      <c r="D10" s="6" t="s">
        <v>35</v>
      </c>
      <c r="E10" s="6" t="s">
        <v>12</v>
      </c>
      <c r="F10" s="7">
        <v>50</v>
      </c>
      <c r="G10" s="7">
        <v>58.08</v>
      </c>
      <c r="H10" s="7" t="s">
        <v>36</v>
      </c>
      <c r="I10" s="8">
        <v>2</v>
      </c>
      <c r="J10" s="8">
        <v>1</v>
      </c>
      <c r="K10" s="8">
        <v>1</v>
      </c>
      <c r="L10" s="8">
        <v>0</v>
      </c>
      <c r="M10" s="8">
        <v>0</v>
      </c>
      <c r="N10" s="8">
        <v>2</v>
      </c>
      <c r="O10" s="8">
        <v>1</v>
      </c>
      <c r="P10" s="8">
        <v>1</v>
      </c>
      <c r="Q10" s="8">
        <v>0</v>
      </c>
      <c r="R10" s="8">
        <v>0</v>
      </c>
      <c r="S10" s="8">
        <f t="shared" ref="S10:S13" si="16">(I10+(J10*0.875)+(K10*0.75)+(L10*0.625)+(M10*0.5))*1.5</f>
        <v>5.4375</v>
      </c>
      <c r="T10" s="8">
        <f t="shared" ref="T10:T13" si="17">(N10+(O10*0.875)+(P10*0.75)+(Q10*0.625)+(R10*0.5))*1.5</f>
        <v>5.4375</v>
      </c>
      <c r="U10" s="8">
        <v>4</v>
      </c>
      <c r="V10" s="8">
        <v>0</v>
      </c>
      <c r="W10" s="8">
        <v>0</v>
      </c>
      <c r="X10" s="8">
        <v>0</v>
      </c>
      <c r="Y10" s="8">
        <v>0</v>
      </c>
      <c r="Z10" s="8">
        <v>4</v>
      </c>
      <c r="AA10" s="8">
        <v>0</v>
      </c>
      <c r="AB10" s="8">
        <v>0</v>
      </c>
      <c r="AC10" s="8">
        <v>0</v>
      </c>
      <c r="AD10" s="8">
        <v>0</v>
      </c>
      <c r="AE10" s="8">
        <f t="shared" ref="AE10:AE13" si="18">((U10+(V10*0.875)+(W10*0.75)+(X10*0.625)+(Y10*0.5))*3)*1.2</f>
        <v>14.399999999999999</v>
      </c>
      <c r="AF10" s="8">
        <f t="shared" ref="AF10:AF13" si="19">((Z10+(AA10*0.875)+(AB10*0.75)+(AC10*0.625)+(AD10*0.5))*3)*1.2</f>
        <v>14.399999999999999</v>
      </c>
      <c r="AG10" s="16">
        <v>0.8</v>
      </c>
      <c r="AH10" s="16">
        <v>0.8</v>
      </c>
      <c r="AI10" s="9">
        <v>2</v>
      </c>
      <c r="AJ10" s="9">
        <v>0</v>
      </c>
      <c r="AK10" s="9">
        <v>0</v>
      </c>
      <c r="AL10" s="9">
        <v>0</v>
      </c>
      <c r="AM10" s="9">
        <v>0</v>
      </c>
      <c r="AN10" s="9">
        <v>2</v>
      </c>
      <c r="AO10" s="9">
        <v>0</v>
      </c>
      <c r="AP10" s="9">
        <v>0</v>
      </c>
      <c r="AQ10" s="9">
        <v>0</v>
      </c>
      <c r="AR10" s="9">
        <v>0</v>
      </c>
      <c r="AS10" s="9">
        <f t="shared" ref="AS10:AS13" si="20">((AI10+(AJ10*0.875)+(AK10*0.75)+(AL10*0.625)+(AM10*0.5))*2)*0.8</f>
        <v>3.2</v>
      </c>
      <c r="AT10" s="9">
        <f t="shared" ref="AT10:AT13" si="21">((AN10+(AO10*0.875)+(AP10*0.75)+(AQ10*0.625)+(AR10*0.5))*2)*0.8</f>
        <v>3.2</v>
      </c>
      <c r="AU10" s="17">
        <v>1.3</v>
      </c>
      <c r="AV10" s="17">
        <v>1.3</v>
      </c>
      <c r="AW10" s="17">
        <v>1.4</v>
      </c>
      <c r="AX10" s="17">
        <v>1.4</v>
      </c>
      <c r="AY10" s="10">
        <v>1</v>
      </c>
      <c r="AZ10" s="10">
        <v>1</v>
      </c>
      <c r="BA10" s="10">
        <v>0</v>
      </c>
      <c r="BB10" s="10">
        <v>0</v>
      </c>
      <c r="BC10" s="10">
        <v>0</v>
      </c>
      <c r="BD10" s="10">
        <v>2</v>
      </c>
      <c r="BE10" s="10">
        <v>1</v>
      </c>
      <c r="BF10" s="10">
        <v>0</v>
      </c>
      <c r="BG10" s="10">
        <v>0</v>
      </c>
      <c r="BH10" s="10">
        <v>0</v>
      </c>
      <c r="BI10" s="10">
        <f t="shared" ref="BI10:BI13" si="22">((AY10+(AZ10*0.875)+(BA10*0.75)+(BB10*0.625)+(BC10*0.5))*2)*1.6</f>
        <v>6</v>
      </c>
      <c r="BJ10" s="10">
        <f t="shared" ref="BJ10:BJ13" si="23">((BD10+(BE10*0.875)+(BF10*0.75)+(BG10*0.625)+(BH10*0.5))*2)*1.6</f>
        <v>9.2000000000000011</v>
      </c>
      <c r="BK10" s="16"/>
      <c r="BL10" s="16"/>
      <c r="BM10" s="18">
        <v>27.2</v>
      </c>
      <c r="BN10" s="18">
        <v>46.3</v>
      </c>
      <c r="BO10" s="19">
        <f t="shared" si="9"/>
        <v>1.2424860455130955</v>
      </c>
      <c r="BP10" s="3">
        <f t="shared" si="0"/>
        <v>33.837499999999999</v>
      </c>
      <c r="BQ10" s="3">
        <f t="shared" si="0"/>
        <v>37.037500000000001</v>
      </c>
      <c r="BR10" s="3">
        <f t="shared" si="15"/>
        <v>3.2000000000000028</v>
      </c>
      <c r="BS10" s="20">
        <f t="shared" si="10"/>
        <v>0</v>
      </c>
      <c r="BT10" s="20">
        <f t="shared" si="1"/>
        <v>5.5096418732782419E-2</v>
      </c>
      <c r="BU10" s="20">
        <f t="shared" si="11"/>
        <v>4.4343692174047614E-2</v>
      </c>
      <c r="BV10" s="21">
        <f t="shared" si="12"/>
        <v>3.3146703635610009E-2</v>
      </c>
      <c r="BW10" s="3">
        <f t="shared" si="13"/>
        <v>0</v>
      </c>
      <c r="BX10" s="3">
        <f t="shared" si="14"/>
        <v>0</v>
      </c>
    </row>
    <row r="11" spans="1:76" x14ac:dyDescent="0.25">
      <c r="A11" s="4">
        <v>8</v>
      </c>
      <c r="B11" s="5" t="s">
        <v>37</v>
      </c>
      <c r="C11" s="5" t="s">
        <v>34</v>
      </c>
      <c r="D11" s="6" t="s">
        <v>38</v>
      </c>
      <c r="E11" s="6" t="s">
        <v>12</v>
      </c>
      <c r="F11" s="7">
        <v>50</v>
      </c>
      <c r="G11" s="7">
        <v>70.5</v>
      </c>
      <c r="H11" s="7" t="s">
        <v>39</v>
      </c>
      <c r="I11" s="8">
        <v>1</v>
      </c>
      <c r="J11" s="8">
        <v>3</v>
      </c>
      <c r="K11" s="8">
        <v>0</v>
      </c>
      <c r="L11" s="8">
        <v>1</v>
      </c>
      <c r="M11" s="8">
        <v>0</v>
      </c>
      <c r="N11" s="8">
        <v>2</v>
      </c>
      <c r="O11" s="8">
        <v>3</v>
      </c>
      <c r="P11" s="8">
        <v>0</v>
      </c>
      <c r="Q11" s="8">
        <v>1</v>
      </c>
      <c r="R11" s="8">
        <v>0</v>
      </c>
      <c r="S11" s="8">
        <f t="shared" si="16"/>
        <v>6.375</v>
      </c>
      <c r="T11" s="8">
        <f t="shared" si="17"/>
        <v>7.875</v>
      </c>
      <c r="U11" s="8">
        <v>0</v>
      </c>
      <c r="V11" s="8">
        <v>0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2</v>
      </c>
      <c r="AE11" s="8">
        <f t="shared" si="18"/>
        <v>3.5999999999999996</v>
      </c>
      <c r="AF11" s="8">
        <f t="shared" si="19"/>
        <v>3.5999999999999996</v>
      </c>
      <c r="AG11" s="16">
        <v>0.8</v>
      </c>
      <c r="AH11" s="16">
        <v>0.8</v>
      </c>
      <c r="AI11" s="9">
        <v>2</v>
      </c>
      <c r="AJ11" s="9">
        <v>5</v>
      </c>
      <c r="AK11" s="9">
        <v>8</v>
      </c>
      <c r="AL11" s="9">
        <v>2</v>
      </c>
      <c r="AM11" s="9">
        <v>3</v>
      </c>
      <c r="AN11" s="9">
        <v>2</v>
      </c>
      <c r="AO11" s="9">
        <v>5</v>
      </c>
      <c r="AP11" s="9">
        <v>8</v>
      </c>
      <c r="AQ11" s="9">
        <v>2</v>
      </c>
      <c r="AR11" s="9">
        <v>3</v>
      </c>
      <c r="AS11" s="9">
        <f t="shared" si="20"/>
        <v>24.200000000000003</v>
      </c>
      <c r="AT11" s="9">
        <f t="shared" si="21"/>
        <v>24.200000000000003</v>
      </c>
      <c r="AU11" s="17">
        <f>5*1.3</f>
        <v>6.5</v>
      </c>
      <c r="AV11" s="17">
        <f>5*1.3</f>
        <v>6.5</v>
      </c>
      <c r="AW11" s="17">
        <f>1.4*11</f>
        <v>15.399999999999999</v>
      </c>
      <c r="AX11" s="17">
        <f>1.4*13</f>
        <v>18.2</v>
      </c>
      <c r="AY11" s="10">
        <v>0</v>
      </c>
      <c r="AZ11" s="10">
        <v>0</v>
      </c>
      <c r="BA11" s="10">
        <v>5</v>
      </c>
      <c r="BB11" s="10">
        <v>6</v>
      </c>
      <c r="BC11" s="10">
        <v>2</v>
      </c>
      <c r="BD11" s="10">
        <v>2</v>
      </c>
      <c r="BE11" s="10">
        <v>0</v>
      </c>
      <c r="BF11" s="10">
        <v>5</v>
      </c>
      <c r="BG11" s="10">
        <v>6</v>
      </c>
      <c r="BH11" s="10">
        <v>2</v>
      </c>
      <c r="BI11" s="10">
        <f t="shared" si="22"/>
        <v>27.200000000000003</v>
      </c>
      <c r="BJ11" s="10">
        <f t="shared" si="23"/>
        <v>33.6</v>
      </c>
      <c r="BK11" s="16"/>
      <c r="BL11" s="16"/>
      <c r="BM11" s="18">
        <v>27.2</v>
      </c>
      <c r="BN11" s="18">
        <v>46.3</v>
      </c>
      <c r="BO11" s="19">
        <f t="shared" si="9"/>
        <v>1.2424860455130955</v>
      </c>
      <c r="BP11" s="3">
        <f t="shared" si="0"/>
        <v>90.575000000000003</v>
      </c>
      <c r="BQ11" s="3">
        <f t="shared" si="0"/>
        <v>101.27500000000001</v>
      </c>
      <c r="BR11" s="3">
        <f t="shared" si="15"/>
        <v>10.700000000000003</v>
      </c>
      <c r="BS11" s="20">
        <f t="shared" si="10"/>
        <v>0.18393623543838136</v>
      </c>
      <c r="BT11" s="20">
        <f t="shared" si="1"/>
        <v>0.15177304964539012</v>
      </c>
      <c r="BU11" s="20">
        <f t="shared" si="11"/>
        <v>0.1221527196973179</v>
      </c>
      <c r="BV11" s="21">
        <f t="shared" si="12"/>
        <v>0.15262066826036313</v>
      </c>
      <c r="BW11" s="3">
        <f t="shared" si="13"/>
        <v>0</v>
      </c>
      <c r="BX11" s="3">
        <f t="shared" si="14"/>
        <v>0</v>
      </c>
    </row>
    <row r="12" spans="1:76" x14ac:dyDescent="0.25">
      <c r="A12" s="4">
        <v>9</v>
      </c>
      <c r="B12" s="5" t="s">
        <v>40</v>
      </c>
      <c r="C12" s="5" t="s">
        <v>34</v>
      </c>
      <c r="D12" s="6" t="s">
        <v>41</v>
      </c>
      <c r="E12" s="6" t="s">
        <v>12</v>
      </c>
      <c r="F12" s="7">
        <v>50</v>
      </c>
      <c r="G12" s="7">
        <v>57.76</v>
      </c>
      <c r="H12" s="7" t="s">
        <v>42</v>
      </c>
      <c r="I12" s="8">
        <v>1</v>
      </c>
      <c r="J12" s="8">
        <v>0</v>
      </c>
      <c r="K12" s="8">
        <v>3</v>
      </c>
      <c r="L12" s="8">
        <v>0</v>
      </c>
      <c r="M12" s="8">
        <v>0</v>
      </c>
      <c r="N12" s="8">
        <v>2</v>
      </c>
      <c r="O12" s="8">
        <v>0</v>
      </c>
      <c r="P12" s="8">
        <v>3</v>
      </c>
      <c r="Q12" s="8">
        <v>0</v>
      </c>
      <c r="R12" s="8">
        <v>0</v>
      </c>
      <c r="S12" s="8">
        <f t="shared" si="16"/>
        <v>4.875</v>
      </c>
      <c r="T12" s="8">
        <f t="shared" si="17"/>
        <v>6.375</v>
      </c>
      <c r="U12" s="8">
        <v>2</v>
      </c>
      <c r="V12" s="8">
        <v>1</v>
      </c>
      <c r="W12" s="8">
        <v>1</v>
      </c>
      <c r="X12" s="8">
        <v>0</v>
      </c>
      <c r="Y12" s="8">
        <v>0</v>
      </c>
      <c r="Z12" s="8">
        <v>2</v>
      </c>
      <c r="AA12" s="8">
        <v>1</v>
      </c>
      <c r="AB12" s="8">
        <v>1</v>
      </c>
      <c r="AC12" s="8">
        <v>0</v>
      </c>
      <c r="AD12" s="8">
        <v>0</v>
      </c>
      <c r="AE12" s="8">
        <f t="shared" si="18"/>
        <v>13.049999999999999</v>
      </c>
      <c r="AF12" s="8">
        <f t="shared" si="19"/>
        <v>13.049999999999999</v>
      </c>
      <c r="AG12" s="16">
        <f>6*0.8</f>
        <v>4.8000000000000007</v>
      </c>
      <c r="AH12" s="16">
        <f>6*0.8</f>
        <v>4.8000000000000007</v>
      </c>
      <c r="AI12" s="9">
        <v>1</v>
      </c>
      <c r="AJ12" s="9">
        <v>2</v>
      </c>
      <c r="AK12" s="9">
        <v>0</v>
      </c>
      <c r="AL12" s="9">
        <v>0</v>
      </c>
      <c r="AM12" s="9">
        <v>0</v>
      </c>
      <c r="AN12" s="9">
        <v>0</v>
      </c>
      <c r="AO12" s="9">
        <v>4</v>
      </c>
      <c r="AP12" s="9">
        <v>2</v>
      </c>
      <c r="AQ12" s="9">
        <v>0</v>
      </c>
      <c r="AR12" s="9">
        <v>0</v>
      </c>
      <c r="AS12" s="9">
        <f t="shared" si="20"/>
        <v>4.4000000000000004</v>
      </c>
      <c r="AT12" s="9">
        <f t="shared" si="21"/>
        <v>8</v>
      </c>
      <c r="AU12" s="17">
        <v>1.3</v>
      </c>
      <c r="AV12" s="17">
        <v>1.3</v>
      </c>
      <c r="AW12" s="17">
        <f>5*1.4</f>
        <v>7</v>
      </c>
      <c r="AX12" s="17">
        <f>7*1.4</f>
        <v>9.7999999999999989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1</v>
      </c>
      <c r="BE12" s="10">
        <v>0</v>
      </c>
      <c r="BF12" s="10">
        <v>0</v>
      </c>
      <c r="BG12" s="10">
        <v>0</v>
      </c>
      <c r="BH12" s="10">
        <v>0</v>
      </c>
      <c r="BI12" s="10">
        <f t="shared" si="22"/>
        <v>0</v>
      </c>
      <c r="BJ12" s="10">
        <f t="shared" si="23"/>
        <v>3.2</v>
      </c>
      <c r="BK12" s="16"/>
      <c r="BL12" s="16"/>
      <c r="BM12" s="18">
        <v>27.2</v>
      </c>
      <c r="BN12" s="18">
        <v>46.3</v>
      </c>
      <c r="BO12" s="19">
        <f t="shared" si="9"/>
        <v>1.2424860455130955</v>
      </c>
      <c r="BP12" s="3">
        <f t="shared" si="0"/>
        <v>36.725000000000001</v>
      </c>
      <c r="BQ12" s="3">
        <f t="shared" si="0"/>
        <v>47.824999999999996</v>
      </c>
      <c r="BR12" s="3">
        <f t="shared" si="15"/>
        <v>11.099999999999994</v>
      </c>
      <c r="BS12" s="20">
        <f t="shared" si="10"/>
        <v>0.19374616799509484</v>
      </c>
      <c r="BT12" s="20">
        <f t="shared" si="1"/>
        <v>0.19217451523545698</v>
      </c>
      <c r="BU12" s="20">
        <f t="shared" si="11"/>
        <v>0.15466935498345724</v>
      </c>
      <c r="BV12" s="21">
        <f t="shared" si="12"/>
        <v>0.18019667940466969</v>
      </c>
      <c r="BW12" s="3">
        <f t="shared" si="13"/>
        <v>0</v>
      </c>
      <c r="BX12" s="3">
        <f t="shared" si="14"/>
        <v>0</v>
      </c>
    </row>
    <row r="13" spans="1:76" ht="25.5" x14ac:dyDescent="0.25">
      <c r="A13" s="4">
        <v>10</v>
      </c>
      <c r="B13" s="5" t="s">
        <v>43</v>
      </c>
      <c r="C13" s="5" t="s">
        <v>44</v>
      </c>
      <c r="D13" s="6" t="s">
        <v>45</v>
      </c>
      <c r="E13" s="6" t="s">
        <v>12</v>
      </c>
      <c r="F13" s="7">
        <v>50</v>
      </c>
      <c r="G13" s="7">
        <v>75.7</v>
      </c>
      <c r="H13" s="7" t="s">
        <v>46</v>
      </c>
      <c r="I13" s="8">
        <v>0</v>
      </c>
      <c r="J13" s="8">
        <v>0</v>
      </c>
      <c r="K13" s="8">
        <v>0</v>
      </c>
      <c r="L13" s="8">
        <v>1</v>
      </c>
      <c r="M13" s="8">
        <v>2</v>
      </c>
      <c r="N13" s="8">
        <v>1</v>
      </c>
      <c r="O13" s="8">
        <v>0</v>
      </c>
      <c r="P13" s="8">
        <v>0</v>
      </c>
      <c r="Q13" s="8">
        <v>1</v>
      </c>
      <c r="R13" s="8">
        <v>2</v>
      </c>
      <c r="S13" s="8">
        <f t="shared" si="16"/>
        <v>2.4375</v>
      </c>
      <c r="T13" s="8">
        <f t="shared" si="17"/>
        <v>3.9375</v>
      </c>
      <c r="U13" s="8">
        <v>0</v>
      </c>
      <c r="V13" s="8">
        <v>1</v>
      </c>
      <c r="W13" s="8">
        <v>0</v>
      </c>
      <c r="X13" s="8">
        <v>1</v>
      </c>
      <c r="Y13" s="8">
        <v>1</v>
      </c>
      <c r="Z13" s="8">
        <v>2</v>
      </c>
      <c r="AA13" s="8">
        <v>1</v>
      </c>
      <c r="AB13" s="8">
        <v>0</v>
      </c>
      <c r="AC13" s="8">
        <v>1</v>
      </c>
      <c r="AD13" s="8">
        <v>1</v>
      </c>
      <c r="AE13" s="8">
        <f t="shared" si="18"/>
        <v>7.1999999999999993</v>
      </c>
      <c r="AF13" s="8">
        <f t="shared" si="19"/>
        <v>14.399999999999999</v>
      </c>
      <c r="AG13" s="16">
        <v>0.8</v>
      </c>
      <c r="AH13" s="16">
        <v>0.8</v>
      </c>
      <c r="AI13" s="9">
        <v>0</v>
      </c>
      <c r="AJ13" s="9">
        <v>0</v>
      </c>
      <c r="AK13" s="9">
        <v>1</v>
      </c>
      <c r="AL13" s="9">
        <v>1</v>
      </c>
      <c r="AM13" s="9">
        <v>3</v>
      </c>
      <c r="AN13" s="9">
        <v>0</v>
      </c>
      <c r="AO13" s="9">
        <v>0</v>
      </c>
      <c r="AP13" s="9">
        <v>1</v>
      </c>
      <c r="AQ13" s="9">
        <v>1</v>
      </c>
      <c r="AR13" s="9">
        <v>3</v>
      </c>
      <c r="AS13" s="9">
        <f t="shared" si="20"/>
        <v>4.6000000000000005</v>
      </c>
      <c r="AT13" s="9">
        <f t="shared" si="21"/>
        <v>4.6000000000000005</v>
      </c>
      <c r="AU13" s="17">
        <f>3*1.3</f>
        <v>3.9000000000000004</v>
      </c>
      <c r="AV13" s="17">
        <v>3.9</v>
      </c>
      <c r="AW13" s="17">
        <f>3*1.4</f>
        <v>4.1999999999999993</v>
      </c>
      <c r="AX13" s="17">
        <f>3*1.4</f>
        <v>4.1999999999999993</v>
      </c>
      <c r="AY13" s="10">
        <v>0</v>
      </c>
      <c r="AZ13" s="10">
        <v>0</v>
      </c>
      <c r="BA13" s="10">
        <v>1</v>
      </c>
      <c r="BB13" s="10">
        <v>1</v>
      </c>
      <c r="BC13" s="10">
        <v>6</v>
      </c>
      <c r="BD13" s="10">
        <v>1</v>
      </c>
      <c r="BE13" s="10">
        <v>1</v>
      </c>
      <c r="BF13" s="10">
        <v>1</v>
      </c>
      <c r="BG13" s="10">
        <v>1</v>
      </c>
      <c r="BH13" s="10">
        <v>6</v>
      </c>
      <c r="BI13" s="10">
        <f t="shared" si="22"/>
        <v>14</v>
      </c>
      <c r="BJ13" s="10">
        <f t="shared" si="23"/>
        <v>20</v>
      </c>
      <c r="BK13" s="16"/>
      <c r="BL13" s="16"/>
      <c r="BM13" s="18">
        <v>25.3</v>
      </c>
      <c r="BN13" s="18">
        <v>46.1</v>
      </c>
      <c r="BO13" s="19">
        <f t="shared" si="9"/>
        <v>1.3300251002567727</v>
      </c>
      <c r="BP13" s="3">
        <f t="shared" si="0"/>
        <v>41.037500000000001</v>
      </c>
      <c r="BQ13" s="3">
        <f t="shared" si="0"/>
        <v>55.737499999999997</v>
      </c>
      <c r="BR13" s="3">
        <f t="shared" si="15"/>
        <v>14.699999999999996</v>
      </c>
      <c r="BS13" s="20">
        <f t="shared" si="10"/>
        <v>0.28203556100551791</v>
      </c>
      <c r="BT13" s="20">
        <f t="shared" si="1"/>
        <v>0.19418758256274762</v>
      </c>
      <c r="BU13" s="20">
        <f t="shared" si="11"/>
        <v>0.14600294575287193</v>
      </c>
      <c r="BV13" s="21">
        <f t="shared" si="12"/>
        <v>0.20740869644037918</v>
      </c>
      <c r="BW13" s="3">
        <f t="shared" si="13"/>
        <v>0</v>
      </c>
      <c r="BX13" s="3">
        <f t="shared" si="14"/>
        <v>0</v>
      </c>
    </row>
    <row r="14" spans="1:76" ht="25.5" x14ac:dyDescent="0.25">
      <c r="A14" s="4">
        <v>11</v>
      </c>
      <c r="B14" s="5" t="s">
        <v>47</v>
      </c>
      <c r="C14" s="5" t="s">
        <v>48</v>
      </c>
      <c r="D14" s="6" t="s">
        <v>49</v>
      </c>
      <c r="E14" s="6" t="s">
        <v>12</v>
      </c>
      <c r="F14" s="7">
        <v>50</v>
      </c>
      <c r="G14" s="7">
        <v>54.6</v>
      </c>
      <c r="H14" s="7" t="s">
        <v>50</v>
      </c>
      <c r="I14" s="8">
        <v>1</v>
      </c>
      <c r="J14" s="8">
        <v>1</v>
      </c>
      <c r="K14" s="8">
        <v>0</v>
      </c>
      <c r="L14" s="8">
        <v>0</v>
      </c>
      <c r="M14" s="8">
        <v>0</v>
      </c>
      <c r="N14" s="8">
        <v>1</v>
      </c>
      <c r="O14" s="8">
        <v>1</v>
      </c>
      <c r="P14" s="8">
        <v>0</v>
      </c>
      <c r="Q14" s="8">
        <v>0</v>
      </c>
      <c r="R14" s="8">
        <v>0</v>
      </c>
      <c r="S14" s="8">
        <f t="shared" ref="S14" si="24">I14+(J14*0.875)+(K14*0.75)+(L14*0.625)+(M14*0.5)</f>
        <v>1.875</v>
      </c>
      <c r="T14" s="8">
        <f t="shared" ref="T14" si="25">N14+(O14*0.875)+(P14*0.75)+(Q14*0.625)+(R14*0.5)</f>
        <v>1.875</v>
      </c>
      <c r="U14" s="8">
        <v>2</v>
      </c>
      <c r="V14" s="8">
        <v>3</v>
      </c>
      <c r="W14" s="8">
        <v>3</v>
      </c>
      <c r="X14" s="8">
        <v>0</v>
      </c>
      <c r="Y14" s="8">
        <v>0</v>
      </c>
      <c r="Z14" s="8">
        <v>3</v>
      </c>
      <c r="AA14" s="8">
        <v>3</v>
      </c>
      <c r="AB14" s="8">
        <v>3</v>
      </c>
      <c r="AC14" s="8">
        <v>0</v>
      </c>
      <c r="AD14" s="8">
        <v>0</v>
      </c>
      <c r="AE14" s="8">
        <f t="shared" ref="AE14" si="26">(U14+(V14*0.875)+(W14*0.75)+(X14*0.625)+(Y14*0.5))*3</f>
        <v>20.625</v>
      </c>
      <c r="AF14" s="8">
        <f t="shared" ref="AF14" si="27">(Z14+(AA14*0.875)+(AB14*0.75)+(AC14*0.625)+(AD14*0.5))*3</f>
        <v>23.625</v>
      </c>
      <c r="AG14" s="16">
        <v>0</v>
      </c>
      <c r="AH14" s="16">
        <v>0</v>
      </c>
      <c r="AI14" s="9">
        <v>0</v>
      </c>
      <c r="AJ14" s="9">
        <v>2</v>
      </c>
      <c r="AK14" s="9">
        <v>2</v>
      </c>
      <c r="AL14" s="9">
        <v>0</v>
      </c>
      <c r="AM14" s="9">
        <v>0</v>
      </c>
      <c r="AN14" s="9">
        <v>0</v>
      </c>
      <c r="AO14" s="9">
        <v>2</v>
      </c>
      <c r="AP14" s="9">
        <v>2</v>
      </c>
      <c r="AQ14" s="9">
        <v>1</v>
      </c>
      <c r="AR14" s="9">
        <v>0</v>
      </c>
      <c r="AS14" s="9">
        <f t="shared" ref="AS14" si="28">(AI14+(AJ14*0.875)+(AK14*0.75)+(AL14*0.625)+(AM14*0.5))*2</f>
        <v>6.5</v>
      </c>
      <c r="AT14" s="9">
        <f t="shared" ref="AT14" si="29">(AN14+(AO14*0.875)+(AP14*0.75)+(AQ14*0.625)+(AR14*0.5))*2</f>
        <v>7.75</v>
      </c>
      <c r="AU14" s="17">
        <f>1.3*3</f>
        <v>3.9000000000000004</v>
      </c>
      <c r="AV14" s="17">
        <f>1.3*3</f>
        <v>3.9000000000000004</v>
      </c>
      <c r="AW14" s="17">
        <f>1.4*3</f>
        <v>4.1999999999999993</v>
      </c>
      <c r="AX14" s="17">
        <f>1.4*3</f>
        <v>4.1999999999999993</v>
      </c>
      <c r="AY14" s="10">
        <v>1</v>
      </c>
      <c r="AZ14" s="10">
        <v>1</v>
      </c>
      <c r="BA14" s="10">
        <v>2</v>
      </c>
      <c r="BB14" s="10">
        <v>0</v>
      </c>
      <c r="BC14" s="10">
        <v>0</v>
      </c>
      <c r="BD14" s="10">
        <v>1</v>
      </c>
      <c r="BE14" s="10">
        <v>1</v>
      </c>
      <c r="BF14" s="10">
        <v>2</v>
      </c>
      <c r="BG14" s="10">
        <v>0</v>
      </c>
      <c r="BH14" s="10">
        <v>0</v>
      </c>
      <c r="BI14" s="10">
        <f t="shared" ref="BI14" si="30">(AY14+(AZ14*0.875)+(BA14*0.75)+(BB14*0.625)+(BC14*0.5))*2</f>
        <v>6.75</v>
      </c>
      <c r="BJ14" s="10">
        <f t="shared" ref="BJ14" si="31">(BD14+(BE14*0.875)+(BF14*0.75)+(BG14*0.625)+(BH14*0.5))*2</f>
        <v>6.75</v>
      </c>
      <c r="BK14" s="16"/>
      <c r="BL14" s="16"/>
      <c r="BM14" s="18">
        <v>30.8</v>
      </c>
      <c r="BN14" s="18">
        <v>51.6</v>
      </c>
      <c r="BO14" s="19">
        <f t="shared" si="9"/>
        <v>1.2228647265143615</v>
      </c>
      <c r="BP14" s="3">
        <f t="shared" si="0"/>
        <v>47.75</v>
      </c>
      <c r="BQ14" s="3">
        <f t="shared" si="0"/>
        <v>52</v>
      </c>
      <c r="BR14" s="3">
        <f t="shared" si="15"/>
        <v>4.25</v>
      </c>
      <c r="BS14" s="20">
        <f t="shared" si="10"/>
        <v>2.5751072961373321E-2</v>
      </c>
      <c r="BT14" s="20">
        <f t="shared" si="1"/>
        <v>7.783882783882784E-2</v>
      </c>
      <c r="BU14" s="20">
        <f t="shared" si="11"/>
        <v>6.3652852315643021E-2</v>
      </c>
      <c r="BV14" s="21">
        <f t="shared" si="12"/>
        <v>5.5747584371948065E-2</v>
      </c>
      <c r="BW14" s="3">
        <f t="shared" si="13"/>
        <v>0</v>
      </c>
      <c r="BX14" s="3">
        <f t="shared" si="14"/>
        <v>0</v>
      </c>
    </row>
    <row r="18" spans="71:71" x14ac:dyDescent="0.25">
      <c r="BS18">
        <f>MIN(BR4:BR14)</f>
        <v>3.2000000000000028</v>
      </c>
    </row>
    <row r="19" spans="71:71" x14ac:dyDescent="0.25">
      <c r="BS19">
        <f>MAX(BR4:BR14)</f>
        <v>43.975000000000001</v>
      </c>
    </row>
  </sheetData>
  <mergeCells count="36">
    <mergeCell ref="G1:G3"/>
    <mergeCell ref="H1:H3"/>
    <mergeCell ref="AE2:AE3"/>
    <mergeCell ref="AF2:AF3"/>
    <mergeCell ref="A1:A3"/>
    <mergeCell ref="B1:B3"/>
    <mergeCell ref="C1:C3"/>
    <mergeCell ref="D1:D3"/>
    <mergeCell ref="E1:E3"/>
    <mergeCell ref="F1:F3"/>
    <mergeCell ref="BU1:BU3"/>
    <mergeCell ref="BV1:BV3"/>
    <mergeCell ref="BW1:BW3"/>
    <mergeCell ref="BX1:BX3"/>
    <mergeCell ref="S2:S3"/>
    <mergeCell ref="T2:T3"/>
    <mergeCell ref="BR1:BR3"/>
    <mergeCell ref="BS1:BS3"/>
    <mergeCell ref="BT1:BT3"/>
    <mergeCell ref="BI2:BI3"/>
    <mergeCell ref="BJ2:BJ3"/>
    <mergeCell ref="BK2:BK3"/>
    <mergeCell ref="BL2:BL3"/>
    <mergeCell ref="AU2:AU3"/>
    <mergeCell ref="AV2:AV3"/>
    <mergeCell ref="AW2:AW3"/>
    <mergeCell ref="AX2:AX3"/>
    <mergeCell ref="AG2:AG3"/>
    <mergeCell ref="AH2:AH3"/>
    <mergeCell ref="AS2:AS3"/>
    <mergeCell ref="AT2:AT3"/>
    <mergeCell ref="BM2:BM3"/>
    <mergeCell ref="BN2:BN3"/>
    <mergeCell ref="BO2:BO3"/>
    <mergeCell ref="BP2:BP3"/>
    <mergeCell ref="BQ2:B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Только парки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Мамедов</dc:creator>
  <cp:lastModifiedBy>Денис Мамедов</cp:lastModifiedBy>
  <dcterms:created xsi:type="dcterms:W3CDTF">2026-02-05T03:18:44Z</dcterms:created>
  <dcterms:modified xsi:type="dcterms:W3CDTF">2026-02-10T16:00:35Z</dcterms:modified>
</cp:coreProperties>
</file>