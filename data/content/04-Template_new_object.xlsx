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НИР\НИР 3\01-Files\01-Excel\"/>
    </mc:Choice>
  </mc:AlternateContent>
  <xr:revisionPtr revIDLastSave="0" documentId="13_ncr:1_{7F0EC194-1000-4C37-8B27-19CDBFE8E98A}" xr6:coauthVersionLast="47" xr6:coauthVersionMax="47" xr10:uidLastSave="{00000000-0000-0000-0000-000000000000}"/>
  <bookViews>
    <workbookView xWindow="5175" yWindow="21480" windowWidth="29040" windowHeight="15720" xr2:uid="{63065C51-9E2E-4957-89E1-47D25490BC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4" i="1" l="1"/>
  <c r="Y4" i="1"/>
  <c r="R4" i="1"/>
  <c r="L4" i="1"/>
  <c r="AJ4" i="1" l="1"/>
</calcChain>
</file>

<file path=xl/sharedStrings.xml><?xml version="1.0" encoding="utf-8"?>
<sst xmlns="http://schemas.openxmlformats.org/spreadsheetml/2006/main" count="86" uniqueCount="23">
  <si>
    <t>№</t>
  </si>
  <si>
    <t>name</t>
  </si>
  <si>
    <t>category</t>
  </si>
  <si>
    <t>coordinate</t>
  </si>
  <si>
    <t>POI</t>
  </si>
  <si>
    <t>Sum</t>
  </si>
  <si>
    <t>Culture</t>
  </si>
  <si>
    <t>Religion</t>
  </si>
  <si>
    <t>Food</t>
  </si>
  <si>
    <t>Sport_big</t>
  </si>
  <si>
    <t>Sport_small</t>
  </si>
  <si>
    <t>Game</t>
  </si>
  <si>
    <t>Space Syntax</t>
  </si>
  <si>
    <t>Contruction_amount_region</t>
  </si>
  <si>
    <t>All_sum</t>
  </si>
  <si>
    <t>After</t>
  </si>
  <si>
    <t>5&lt;</t>
  </si>
  <si>
    <t>5&lt;10</t>
  </si>
  <si>
    <t>10&lt;15</t>
  </si>
  <si>
    <t>15&lt;20</t>
  </si>
  <si>
    <t>20&lt;25</t>
  </si>
  <si>
    <t>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</si>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</sst>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2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8" borderId="1" xfId="0" applyFill="1" applyBorder="1"/>
    <xf numFmtId="0" fontId="0" fillId="0" borderId="1" xfId="0" applyBorder="1"/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50E7-0821-4E2C-B263-694CFB779C09}">
  <dimension ref="A1:AJ4"/>
  <sheetViews>
    <sheetView tabSelected="1" workbookViewId="0">
      <selection activeCell="D7" sqref="D7"/>
    </sheetView>
  </sheetViews>
  <sheetFormatPr defaultRowHeight="15" x14ac:dyDescent="0.25"/>
  <cols>
    <col min="1" max="1" width="5.7109375" customWidth="1"/>
    <col min="2" max="2" width="15.7109375" customWidth="1"/>
    <col min="3" max="3" width="20.140625" customWidth="1"/>
    <col min="4" max="4" width="35.7109375" customWidth="1"/>
    <col min="5" max="5" width="16.7109375" customWidth="1"/>
    <col min="6" max="6" width="20.5703125" customWidth="1"/>
  </cols>
  <sheetData>
    <row r="1" spans="1:36" ht="38.25" x14ac:dyDescent="0.25">
      <c r="A1" s="30" t="s">
        <v>0</v>
      </c>
      <c r="B1" s="30" t="s">
        <v>21</v>
      </c>
      <c r="C1" s="30" t="s">
        <v>22</v>
      </c>
      <c r="D1" s="30" t="s">
        <v>1</v>
      </c>
      <c r="E1" s="30" t="s">
        <v>2</v>
      </c>
      <c r="F1" s="30" t="s">
        <v>3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5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5</v>
      </c>
      <c r="S1" s="2" t="s">
        <v>7</v>
      </c>
      <c r="T1" s="3" t="s">
        <v>8</v>
      </c>
      <c r="U1" s="3" t="s">
        <v>8</v>
      </c>
      <c r="V1" s="3" t="s">
        <v>8</v>
      </c>
      <c r="W1" s="3" t="s">
        <v>8</v>
      </c>
      <c r="X1" s="3" t="s">
        <v>8</v>
      </c>
      <c r="Y1" s="3" t="s">
        <v>5</v>
      </c>
      <c r="Z1" s="4" t="s">
        <v>9</v>
      </c>
      <c r="AA1" s="4" t="s">
        <v>10</v>
      </c>
      <c r="AB1" s="5" t="s">
        <v>11</v>
      </c>
      <c r="AC1" s="5" t="s">
        <v>11</v>
      </c>
      <c r="AD1" s="5" t="s">
        <v>11</v>
      </c>
      <c r="AE1" s="5" t="s">
        <v>11</v>
      </c>
      <c r="AF1" s="5" t="s">
        <v>11</v>
      </c>
      <c r="AG1" s="5" t="s">
        <v>5</v>
      </c>
      <c r="AH1" s="6" t="s">
        <v>12</v>
      </c>
      <c r="AI1" s="7" t="s">
        <v>13</v>
      </c>
      <c r="AJ1" s="8" t="s">
        <v>14</v>
      </c>
    </row>
    <row r="2" spans="1:36" x14ac:dyDescent="0.25">
      <c r="A2" s="31"/>
      <c r="B2" s="31"/>
      <c r="C2" s="31"/>
      <c r="D2" s="31"/>
      <c r="E2" s="31"/>
      <c r="F2" s="31"/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29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2" t="s">
        <v>15</v>
      </c>
      <c r="T2" s="3" t="s">
        <v>15</v>
      </c>
      <c r="U2" s="3" t="s">
        <v>15</v>
      </c>
      <c r="V2" s="3" t="s">
        <v>15</v>
      </c>
      <c r="W2" s="3" t="s">
        <v>15</v>
      </c>
      <c r="X2" s="3" t="s">
        <v>15</v>
      </c>
      <c r="Y2" s="33" t="s">
        <v>15</v>
      </c>
      <c r="Z2" s="26" t="s">
        <v>15</v>
      </c>
      <c r="AA2" s="26" t="s">
        <v>15</v>
      </c>
      <c r="AB2" s="9" t="s">
        <v>15</v>
      </c>
      <c r="AC2" s="9" t="s">
        <v>15</v>
      </c>
      <c r="AD2" s="9" t="s">
        <v>15</v>
      </c>
      <c r="AE2" s="9" t="s">
        <v>15</v>
      </c>
      <c r="AF2" s="9" t="s">
        <v>15</v>
      </c>
      <c r="AG2" s="27" t="s">
        <v>15</v>
      </c>
      <c r="AH2" s="28" t="s">
        <v>15</v>
      </c>
      <c r="AI2" s="24" t="s">
        <v>15</v>
      </c>
      <c r="AJ2" s="25" t="s">
        <v>15</v>
      </c>
    </row>
    <row r="3" spans="1:36" x14ac:dyDescent="0.25">
      <c r="A3" s="32"/>
      <c r="B3" s="32"/>
      <c r="C3" s="32"/>
      <c r="D3" s="32"/>
      <c r="E3" s="32"/>
      <c r="F3" s="32"/>
      <c r="G3" s="10" t="s">
        <v>16</v>
      </c>
      <c r="H3" s="10" t="s">
        <v>17</v>
      </c>
      <c r="I3" s="10" t="s">
        <v>18</v>
      </c>
      <c r="J3" s="10" t="s">
        <v>19</v>
      </c>
      <c r="K3" s="10" t="s">
        <v>20</v>
      </c>
      <c r="L3" s="29"/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"/>
      <c r="S3" s="2"/>
      <c r="T3" s="11" t="s">
        <v>16</v>
      </c>
      <c r="U3" s="11" t="s">
        <v>17</v>
      </c>
      <c r="V3" s="11" t="s">
        <v>18</v>
      </c>
      <c r="W3" s="11" t="s">
        <v>19</v>
      </c>
      <c r="X3" s="11" t="s">
        <v>20</v>
      </c>
      <c r="Y3" s="33"/>
      <c r="Z3" s="26"/>
      <c r="AA3" s="26"/>
      <c r="AB3" s="12" t="s">
        <v>16</v>
      </c>
      <c r="AC3" s="12" t="s">
        <v>17</v>
      </c>
      <c r="AD3" s="12" t="s">
        <v>18</v>
      </c>
      <c r="AE3" s="12" t="s">
        <v>19</v>
      </c>
      <c r="AF3" s="12" t="s">
        <v>20</v>
      </c>
      <c r="AG3" s="27"/>
      <c r="AH3" s="28"/>
      <c r="AI3" s="24"/>
      <c r="AJ3" s="25"/>
    </row>
    <row r="4" spans="1:36" x14ac:dyDescent="0.25">
      <c r="A4" s="13">
        <v>1</v>
      </c>
      <c r="B4" s="14"/>
      <c r="C4" s="14"/>
      <c r="D4" s="15"/>
      <c r="E4" s="15"/>
      <c r="F4" s="16"/>
      <c r="G4" s="17"/>
      <c r="H4" s="17"/>
      <c r="I4" s="17"/>
      <c r="J4" s="17"/>
      <c r="K4" s="17"/>
      <c r="L4" s="17">
        <f>(G4+(H4*0.875)+(I4*0.75)+(J4*0.625)+(K4*0.5))*1.5</f>
        <v>0</v>
      </c>
      <c r="M4" s="17"/>
      <c r="N4" s="17"/>
      <c r="O4" s="17"/>
      <c r="P4" s="17"/>
      <c r="Q4" s="17"/>
      <c r="R4" s="17">
        <f>((M4+(N4*0.875)+(O4*0.75)+(P4*0.625)+(Q4*0.5))*3)*1.2</f>
        <v>0</v>
      </c>
      <c r="S4" s="18"/>
      <c r="T4" s="19"/>
      <c r="U4" s="19"/>
      <c r="V4" s="19"/>
      <c r="W4" s="19"/>
      <c r="X4" s="19"/>
      <c r="Y4" s="19">
        <f>((T4+(U4*0.875)+(V4*0.75)+(W4*0.625)+(X4*0.5))*2)*0.8</f>
        <v>0</v>
      </c>
      <c r="Z4" s="20"/>
      <c r="AA4" s="20"/>
      <c r="AB4" s="21"/>
      <c r="AC4" s="21"/>
      <c r="AD4" s="21"/>
      <c r="AE4" s="21"/>
      <c r="AF4" s="21"/>
      <c r="AG4" s="21">
        <f>((AB4+(AC4*0.875)+(AD4*0.75)+(AE4*0.625)+(AF4*0.5))*2)*1.6</f>
        <v>0</v>
      </c>
      <c r="AH4" s="18"/>
      <c r="AI4" s="22">
        <v>41.1</v>
      </c>
      <c r="AJ4" s="23">
        <f>L4+R4+S4+Y4+(Z4*2)+AA4+AG4</f>
        <v>0</v>
      </c>
    </row>
  </sheetData>
  <mergeCells count="14">
    <mergeCell ref="A1:A3"/>
    <mergeCell ref="B1:B3"/>
    <mergeCell ref="C1:C3"/>
    <mergeCell ref="D1:D3"/>
    <mergeCell ref="E1:E3"/>
    <mergeCell ref="L2:L3"/>
    <mergeCell ref="F1:F3"/>
    <mergeCell ref="Y2:Y3"/>
    <mergeCell ref="Z2:Z3"/>
    <mergeCell ref="AI2:AI3"/>
    <mergeCell ref="AJ2:AJ3"/>
    <mergeCell ref="AA2:AA3"/>
    <mergeCell ref="AG2:AG3"/>
    <mergeCell ref="AH2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Мамедов</dc:creator>
  <cp:lastModifiedBy>Денис Мамедов</cp:lastModifiedBy>
  <dcterms:created xsi:type="dcterms:W3CDTF">2026-02-07T07:35:56Z</dcterms:created>
  <dcterms:modified xsi:type="dcterms:W3CDTF">2026-02-17T06:32:35Z</dcterms:modified>
</cp:coreProperties>
</file>