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НИР\НИР 3\01-Files\01-Excel\"/>
    </mc:Choice>
  </mc:AlternateContent>
  <xr:revisionPtr revIDLastSave="0" documentId="13_ncr:1_{6373A5B2-6A6A-42E2-BF8C-8D552AE51EFF}" xr6:coauthVersionLast="47" xr6:coauthVersionMax="47" xr10:uidLastSave="{00000000-0000-0000-0000-000000000000}"/>
  <bookViews>
    <workbookView xWindow="-120" yWindow="-120" windowWidth="29040" windowHeight="15720" firstSheet="1" activeTab="3" xr2:uid="{AA904E60-066D-4037-B85F-92D0AF042702}"/>
  </bookViews>
  <sheets>
    <sheet name="Проекты" sheetId="1" r:id="rId1"/>
    <sheet name="Лист1" sheetId="3" r:id="rId2"/>
    <sheet name="Мера весов" sheetId="2" r:id="rId3"/>
    <sheet name="Метрики" sheetId="4" r:id="rId4"/>
    <sheet name="Оценивание" sheetId="5" r:id="rId5"/>
    <sheet name="Только парки" sheetId="7" r:id="rId6"/>
    <sheet name="Лист2" sheetId="6" r:id="rId7"/>
  </sheets>
  <definedNames>
    <definedName name="_xlnm._FilterDatabase" localSheetId="1" hidden="1">Лист1!$A$1:$L$1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14" i="7" l="1"/>
  <c r="AW14" i="7"/>
  <c r="AV14" i="7"/>
  <c r="AU14" i="7"/>
  <c r="AX13" i="7"/>
  <c r="AW13" i="7"/>
  <c r="AU13" i="7"/>
  <c r="AW12" i="7"/>
  <c r="AX12" i="7"/>
  <c r="AH12" i="7"/>
  <c r="AG12" i="7"/>
  <c r="BX4" i="7"/>
  <c r="BW4" i="7"/>
  <c r="BO14" i="7"/>
  <c r="BJ14" i="7"/>
  <c r="BI14" i="7"/>
  <c r="AT14" i="7"/>
  <c r="AS14" i="7"/>
  <c r="AF14" i="7"/>
  <c r="AE14" i="7"/>
  <c r="T14" i="7"/>
  <c r="S14" i="7"/>
  <c r="BO13" i="7"/>
  <c r="BJ13" i="7"/>
  <c r="BI13" i="7"/>
  <c r="AT13" i="7"/>
  <c r="AS13" i="7"/>
  <c r="AF13" i="7"/>
  <c r="AE13" i="7"/>
  <c r="T13" i="7"/>
  <c r="S13" i="7"/>
  <c r="BO12" i="7"/>
  <c r="BJ12" i="7"/>
  <c r="BI12" i="7"/>
  <c r="AT12" i="7"/>
  <c r="AS12" i="7"/>
  <c r="AF12" i="7"/>
  <c r="AE12" i="7"/>
  <c r="T12" i="7"/>
  <c r="S12" i="7"/>
  <c r="BO11" i="7"/>
  <c r="BJ11" i="7"/>
  <c r="BI11" i="7"/>
  <c r="AX11" i="7"/>
  <c r="AW11" i="7"/>
  <c r="BP11" i="7" s="1"/>
  <c r="AV11" i="7"/>
  <c r="BQ11" i="7" s="1"/>
  <c r="BR11" i="7" s="1"/>
  <c r="AU11" i="7"/>
  <c r="AT11" i="7"/>
  <c r="AS11" i="7"/>
  <c r="AF11" i="7"/>
  <c r="AE11" i="7"/>
  <c r="T11" i="7"/>
  <c r="S11" i="7"/>
  <c r="BQ10" i="7"/>
  <c r="BR10" i="7" s="1"/>
  <c r="BP10" i="7"/>
  <c r="BO10" i="7"/>
  <c r="BJ10" i="7"/>
  <c r="BI10" i="7"/>
  <c r="AT10" i="7"/>
  <c r="AS10" i="7"/>
  <c r="AF10" i="7"/>
  <c r="AE10" i="7"/>
  <c r="T10" i="7"/>
  <c r="S10" i="7"/>
  <c r="BQ9" i="7"/>
  <c r="BR9" i="7" s="1"/>
  <c r="BP9" i="7"/>
  <c r="BO9" i="7"/>
  <c r="BJ9" i="7"/>
  <c r="BI9" i="7"/>
  <c r="AX9" i="7"/>
  <c r="AW9" i="7"/>
  <c r="AV9" i="7"/>
  <c r="AU9" i="7"/>
  <c r="AT9" i="7"/>
  <c r="AS9" i="7"/>
  <c r="AH9" i="7"/>
  <c r="AG9" i="7"/>
  <c r="AF9" i="7"/>
  <c r="AE9" i="7"/>
  <c r="T9" i="7"/>
  <c r="S9" i="7"/>
  <c r="BO8" i="7"/>
  <c r="BJ8" i="7"/>
  <c r="BI8" i="7"/>
  <c r="AX8" i="7"/>
  <c r="AW8" i="7"/>
  <c r="AV8" i="7"/>
  <c r="AU8" i="7"/>
  <c r="AT8" i="7"/>
  <c r="BQ8" i="7" s="1"/>
  <c r="AS8" i="7"/>
  <c r="AH8" i="7"/>
  <c r="AG8" i="7"/>
  <c r="AF8" i="7"/>
  <c r="AE8" i="7"/>
  <c r="T8" i="7"/>
  <c r="S8" i="7"/>
  <c r="BP8" i="7" s="1"/>
  <c r="BQ7" i="7"/>
  <c r="BR7" i="7" s="1"/>
  <c r="BP7" i="7"/>
  <c r="BO7" i="7"/>
  <c r="BJ7" i="7"/>
  <c r="BI7" i="7"/>
  <c r="AV7" i="7"/>
  <c r="AU7" i="7"/>
  <c r="AT7" i="7"/>
  <c r="AS7" i="7"/>
  <c r="AF7" i="7"/>
  <c r="AE7" i="7"/>
  <c r="T7" i="7"/>
  <c r="S7" i="7"/>
  <c r="BO6" i="7"/>
  <c r="BJ6" i="7"/>
  <c r="BI6" i="7"/>
  <c r="AX6" i="7"/>
  <c r="AT6" i="7"/>
  <c r="AS6" i="7"/>
  <c r="AF6" i="7"/>
  <c r="BQ6" i="7" s="1"/>
  <c r="AE6" i="7"/>
  <c r="BP6" i="7" s="1"/>
  <c r="T6" i="7"/>
  <c r="S6" i="7"/>
  <c r="BO5" i="7"/>
  <c r="BJ5" i="7"/>
  <c r="BI5" i="7"/>
  <c r="AT5" i="7"/>
  <c r="AS5" i="7"/>
  <c r="BP5" i="7" s="1"/>
  <c r="AH5" i="7"/>
  <c r="BQ5" i="7" s="1"/>
  <c r="BR5" i="7" s="1"/>
  <c r="AG5" i="7"/>
  <c r="AF5" i="7"/>
  <c r="AE5" i="7"/>
  <c r="T5" i="7"/>
  <c r="S5" i="7"/>
  <c r="BO4" i="7"/>
  <c r="BJ4" i="7"/>
  <c r="BQ4" i="7" s="1"/>
  <c r="BI4" i="7"/>
  <c r="BP4" i="7" s="1"/>
  <c r="AV4" i="7"/>
  <c r="AU4" i="7"/>
  <c r="AT4" i="7"/>
  <c r="AS4" i="7"/>
  <c r="AH4" i="7"/>
  <c r="AG4" i="7"/>
  <c r="AF4" i="7"/>
  <c r="AE4" i="7"/>
  <c r="T4" i="7"/>
  <c r="S4" i="7"/>
  <c r="AX15" i="5"/>
  <c r="AW15" i="5"/>
  <c r="AV15" i="5"/>
  <c r="AU15" i="5"/>
  <c r="BJ10" i="5"/>
  <c r="BJ9" i="5"/>
  <c r="BJ14" i="5"/>
  <c r="BJ15" i="5"/>
  <c r="BJ16" i="5"/>
  <c r="BJ17" i="5"/>
  <c r="BJ13" i="5"/>
  <c r="BI10" i="5"/>
  <c r="BI9" i="5"/>
  <c r="BI14" i="5"/>
  <c r="BI15" i="5"/>
  <c r="BI16" i="5"/>
  <c r="BI17" i="5"/>
  <c r="BI13" i="5"/>
  <c r="AW13" i="5"/>
  <c r="AX13" i="5"/>
  <c r="AV13" i="5"/>
  <c r="AU13" i="5"/>
  <c r="AT14" i="5"/>
  <c r="AT15" i="5"/>
  <c r="AT16" i="5"/>
  <c r="AT17" i="5"/>
  <c r="AT13" i="5"/>
  <c r="AS14" i="5"/>
  <c r="AS15" i="5"/>
  <c r="AS16" i="5"/>
  <c r="AS17" i="5"/>
  <c r="AS13" i="5"/>
  <c r="AT10" i="5"/>
  <c r="AT9" i="5"/>
  <c r="AS10" i="5"/>
  <c r="AS9" i="5"/>
  <c r="AH13" i="5"/>
  <c r="AG13" i="5"/>
  <c r="AF9" i="5"/>
  <c r="AF10" i="5"/>
  <c r="AF14" i="5"/>
  <c r="AF15" i="5"/>
  <c r="AF16" i="5"/>
  <c r="AF17" i="5"/>
  <c r="AF13" i="5"/>
  <c r="AE6" i="5"/>
  <c r="AE9" i="5"/>
  <c r="AE10" i="5"/>
  <c r="AE14" i="5"/>
  <c r="AE15" i="5"/>
  <c r="AE16" i="5"/>
  <c r="AE17" i="5"/>
  <c r="AE13" i="5"/>
  <c r="T9" i="5"/>
  <c r="T10" i="5"/>
  <c r="T14" i="5"/>
  <c r="T15" i="5"/>
  <c r="T16" i="5"/>
  <c r="T17" i="5"/>
  <c r="T13" i="5"/>
  <c r="S14" i="5"/>
  <c r="S15" i="5"/>
  <c r="S16" i="5"/>
  <c r="S17" i="5"/>
  <c r="S13" i="5"/>
  <c r="S5" i="5"/>
  <c r="S6" i="5"/>
  <c r="S9" i="5"/>
  <c r="S10" i="5"/>
  <c r="AX10" i="5"/>
  <c r="AW10" i="5"/>
  <c r="AV10" i="5"/>
  <c r="AU10" i="5"/>
  <c r="AH10" i="5"/>
  <c r="AG10" i="5"/>
  <c r="AV9" i="5"/>
  <c r="AU9" i="5"/>
  <c r="BJ8" i="5"/>
  <c r="BJ7" i="5"/>
  <c r="BI8" i="5"/>
  <c r="BI7" i="5"/>
  <c r="AW8" i="5"/>
  <c r="AW7" i="5"/>
  <c r="AU8" i="5"/>
  <c r="AU7" i="5"/>
  <c r="AT8" i="5"/>
  <c r="AT7" i="5"/>
  <c r="AS8" i="5"/>
  <c r="AS7" i="5"/>
  <c r="AG8" i="5"/>
  <c r="AG7" i="5"/>
  <c r="AF8" i="5"/>
  <c r="AF7" i="5"/>
  <c r="AE8" i="5"/>
  <c r="AE7" i="5"/>
  <c r="T8" i="5"/>
  <c r="T7" i="5"/>
  <c r="S8" i="5"/>
  <c r="S7" i="5"/>
  <c r="BJ5" i="5"/>
  <c r="BJ6" i="5"/>
  <c r="BI5" i="5"/>
  <c r="BI6" i="5"/>
  <c r="BJ4" i="5"/>
  <c r="BI4" i="5"/>
  <c r="AX6" i="5"/>
  <c r="AV4" i="5"/>
  <c r="AU4" i="5"/>
  <c r="AT5" i="5"/>
  <c r="AT6" i="5"/>
  <c r="AT4" i="5"/>
  <c r="AS5" i="5"/>
  <c r="AS6" i="5"/>
  <c r="AS4" i="5"/>
  <c r="AH5" i="5"/>
  <c r="AG5" i="5"/>
  <c r="AH4" i="5"/>
  <c r="AG4" i="5"/>
  <c r="AF5" i="5"/>
  <c r="AF6" i="5"/>
  <c r="AE5" i="5"/>
  <c r="AF4" i="5"/>
  <c r="AE4" i="5"/>
  <c r="T5" i="5"/>
  <c r="T6" i="5"/>
  <c r="T4" i="5"/>
  <c r="S4" i="5"/>
  <c r="BO5" i="5"/>
  <c r="BO6" i="5"/>
  <c r="BO7" i="5"/>
  <c r="BO8" i="5"/>
  <c r="BO9" i="5"/>
  <c r="BO10" i="5"/>
  <c r="BO11" i="5"/>
  <c r="BO12" i="5"/>
  <c r="BO13" i="5"/>
  <c r="BO14" i="5"/>
  <c r="BO15" i="5"/>
  <c r="BO16" i="5"/>
  <c r="BO17" i="5"/>
  <c r="BO18" i="5"/>
  <c r="BO19" i="5"/>
  <c r="BO20" i="5"/>
  <c r="BO21" i="5"/>
  <c r="BO4" i="5"/>
  <c r="AT11" i="5"/>
  <c r="AT12" i="5"/>
  <c r="AT18" i="5"/>
  <c r="AT19" i="5"/>
  <c r="AT20" i="5"/>
  <c r="AT21" i="5"/>
  <c r="AS11" i="5"/>
  <c r="AS12" i="5"/>
  <c r="AS18" i="5"/>
  <c r="AS19" i="5"/>
  <c r="AS20" i="5"/>
  <c r="AS21" i="5"/>
  <c r="T11" i="5"/>
  <c r="T12" i="5"/>
  <c r="T18" i="5"/>
  <c r="T19" i="5"/>
  <c r="T20" i="5"/>
  <c r="T21" i="5"/>
  <c r="BJ11" i="5"/>
  <c r="BJ12" i="5"/>
  <c r="BJ18" i="5"/>
  <c r="BJ19" i="5"/>
  <c r="BJ20" i="5"/>
  <c r="BJ21" i="5"/>
  <c r="BI11" i="5"/>
  <c r="BI12" i="5"/>
  <c r="BI18" i="5"/>
  <c r="BI19" i="5"/>
  <c r="BI20" i="5"/>
  <c r="BI21" i="5"/>
  <c r="AF11" i="5"/>
  <c r="AF12" i="5"/>
  <c r="AF18" i="5"/>
  <c r="AF19" i="5"/>
  <c r="AF20" i="5"/>
  <c r="AF21" i="5"/>
  <c r="AE11" i="5"/>
  <c r="AE12" i="5"/>
  <c r="AE18" i="5"/>
  <c r="AE19" i="5"/>
  <c r="AE20" i="5"/>
  <c r="AE21" i="5"/>
  <c r="S11" i="5"/>
  <c r="S12" i="5"/>
  <c r="S18" i="5"/>
  <c r="S19" i="5"/>
  <c r="S20" i="5"/>
  <c r="S21" i="5"/>
  <c r="BP14" i="7" l="1"/>
  <c r="BQ14" i="7"/>
  <c r="BQ13" i="7"/>
  <c r="BP13" i="7"/>
  <c r="BP12" i="7"/>
  <c r="BQ12" i="7"/>
  <c r="BW10" i="7"/>
  <c r="BX10" i="7"/>
  <c r="BT10" i="7"/>
  <c r="BU10" i="7" s="1"/>
  <c r="BW9" i="7"/>
  <c r="BT9" i="7"/>
  <c r="BU9" i="7" s="1"/>
  <c r="BX9" i="7"/>
  <c r="BX11" i="7"/>
  <c r="BW11" i="7"/>
  <c r="BT11" i="7"/>
  <c r="BU11" i="7" s="1"/>
  <c r="BX7" i="7"/>
  <c r="BT7" i="7"/>
  <c r="BU7" i="7" s="1"/>
  <c r="BW7" i="7"/>
  <c r="BR8" i="7"/>
  <c r="BT5" i="7"/>
  <c r="BU5" i="7" s="1"/>
  <c r="BX5" i="7"/>
  <c r="BW5" i="7"/>
  <c r="BR6" i="7"/>
  <c r="BR4" i="7"/>
  <c r="BQ21" i="5"/>
  <c r="BP19" i="5"/>
  <c r="BP12" i="5"/>
  <c r="BP6" i="5"/>
  <c r="BQ18" i="5"/>
  <c r="BQ11" i="5"/>
  <c r="BQ16" i="5"/>
  <c r="BQ15" i="5"/>
  <c r="BP10" i="5"/>
  <c r="BP9" i="5"/>
  <c r="BP17" i="5"/>
  <c r="BP14" i="5"/>
  <c r="BP16" i="5"/>
  <c r="BQ8" i="5"/>
  <c r="BQ14" i="5"/>
  <c r="BQ13" i="5"/>
  <c r="BP4" i="5"/>
  <c r="BP21" i="5"/>
  <c r="BR21" i="5" s="1"/>
  <c r="BP20" i="5"/>
  <c r="BQ4" i="5"/>
  <c r="BQ9" i="5"/>
  <c r="BQ19" i="5"/>
  <c r="BQ17" i="5"/>
  <c r="BP18" i="5"/>
  <c r="BP5" i="5"/>
  <c r="BP15" i="5"/>
  <c r="BQ12" i="5"/>
  <c r="BP13" i="5"/>
  <c r="BQ5" i="5"/>
  <c r="BP11" i="5"/>
  <c r="BQ10" i="5"/>
  <c r="BP7" i="5"/>
  <c r="BP8" i="5"/>
  <c r="BQ6" i="5"/>
  <c r="BQ7" i="5"/>
  <c r="BQ20" i="5"/>
  <c r="BR20" i="5" s="1"/>
  <c r="BR14" i="7" l="1"/>
  <c r="BX14" i="7" s="1"/>
  <c r="BR13" i="7"/>
  <c r="BX13" i="7" s="1"/>
  <c r="BR12" i="7"/>
  <c r="BX12" i="7" s="1"/>
  <c r="BS19" i="7"/>
  <c r="BT12" i="7"/>
  <c r="BU12" i="7" s="1"/>
  <c r="BX8" i="7"/>
  <c r="BW8" i="7"/>
  <c r="BT8" i="7"/>
  <c r="BU8" i="7" s="1"/>
  <c r="BT4" i="7"/>
  <c r="BU4" i="7" s="1"/>
  <c r="BX6" i="7"/>
  <c r="BW6" i="7"/>
  <c r="BT6" i="7"/>
  <c r="BU6" i="7" s="1"/>
  <c r="BR13" i="5"/>
  <c r="BW13" i="5" s="1"/>
  <c r="BR10" i="5"/>
  <c r="BW10" i="5" s="1"/>
  <c r="BR12" i="5"/>
  <c r="BX12" i="5" s="1"/>
  <c r="BR19" i="5"/>
  <c r="BW19" i="5" s="1"/>
  <c r="BR5" i="5"/>
  <c r="BT5" i="5" s="1"/>
  <c r="BU5" i="5" s="1"/>
  <c r="BR14" i="5"/>
  <c r="BX14" i="5" s="1"/>
  <c r="BR17" i="5"/>
  <c r="BT17" i="5" s="1"/>
  <c r="BU17" i="5" s="1"/>
  <c r="BR4" i="5"/>
  <c r="BT4" i="5" s="1"/>
  <c r="BU4" i="5" s="1"/>
  <c r="BT21" i="5"/>
  <c r="BU21" i="5" s="1"/>
  <c r="BW21" i="5"/>
  <c r="BX21" i="5"/>
  <c r="BX13" i="5"/>
  <c r="BT13" i="5"/>
  <c r="BU13" i="5" s="1"/>
  <c r="BW14" i="5"/>
  <c r="BT19" i="5"/>
  <c r="BU19" i="5" s="1"/>
  <c r="BT20" i="5"/>
  <c r="BU20" i="5" s="1"/>
  <c r="BX20" i="5"/>
  <c r="BW20" i="5"/>
  <c r="BX10" i="5"/>
  <c r="BT10" i="5"/>
  <c r="BU10" i="5" s="1"/>
  <c r="BR15" i="5"/>
  <c r="BR16" i="5"/>
  <c r="BR11" i="5"/>
  <c r="BR9" i="5"/>
  <c r="BR18" i="5"/>
  <c r="BR7" i="5"/>
  <c r="BR6" i="5"/>
  <c r="BR8" i="5"/>
  <c r="BT14" i="7" l="1"/>
  <c r="BU14" i="7" s="1"/>
  <c r="BW14" i="7"/>
  <c r="BW13" i="7"/>
  <c r="BT13" i="7"/>
  <c r="BU13" i="7" s="1"/>
  <c r="BW12" i="7"/>
  <c r="BS18" i="7"/>
  <c r="BS12" i="7" s="1"/>
  <c r="BV12" i="7" s="1"/>
  <c r="BT14" i="5"/>
  <c r="BU14" i="5" s="1"/>
  <c r="BW17" i="5"/>
  <c r="BX19" i="5"/>
  <c r="BX17" i="5"/>
  <c r="BT12" i="5"/>
  <c r="BU12" i="5" s="1"/>
  <c r="BW12" i="5"/>
  <c r="BS23" i="5"/>
  <c r="BW5" i="5"/>
  <c r="BX5" i="5"/>
  <c r="BS24" i="5"/>
  <c r="BW4" i="5"/>
  <c r="BX4" i="5"/>
  <c r="BT7" i="5"/>
  <c r="BU7" i="5" s="1"/>
  <c r="BW7" i="5"/>
  <c r="BX7" i="5"/>
  <c r="BT16" i="5"/>
  <c r="BU16" i="5" s="1"/>
  <c r="BW16" i="5"/>
  <c r="BX16" i="5"/>
  <c r="BT6" i="5"/>
  <c r="BU6" i="5" s="1"/>
  <c r="BW6" i="5"/>
  <c r="BX6" i="5"/>
  <c r="BX18" i="5"/>
  <c r="BW18" i="5"/>
  <c r="BT18" i="5"/>
  <c r="BU18" i="5" s="1"/>
  <c r="BW9" i="5"/>
  <c r="BT9" i="5"/>
  <c r="BU9" i="5" s="1"/>
  <c r="BX9" i="5"/>
  <c r="BT11" i="5"/>
  <c r="BU11" i="5" s="1"/>
  <c r="BW11" i="5"/>
  <c r="BX11" i="5"/>
  <c r="BT8" i="5"/>
  <c r="BU8" i="5" s="1"/>
  <c r="BW8" i="5"/>
  <c r="BX8" i="5"/>
  <c r="BW15" i="5"/>
  <c r="BX15" i="5"/>
  <c r="BT15" i="5"/>
  <c r="BU15" i="5" s="1"/>
  <c r="BS4" i="7" l="1"/>
  <c r="BV4" i="7" s="1"/>
  <c r="BS7" i="7"/>
  <c r="BV7" i="7" s="1"/>
  <c r="BS6" i="7"/>
  <c r="BV6" i="7" s="1"/>
  <c r="BS5" i="7"/>
  <c r="BV5" i="7" s="1"/>
  <c r="BS14" i="7"/>
  <c r="BV14" i="7" s="1"/>
  <c r="BS13" i="7"/>
  <c r="BV13" i="7" s="1"/>
  <c r="BS11" i="7"/>
  <c r="BV11" i="7" s="1"/>
  <c r="BS10" i="7"/>
  <c r="BV10" i="7" s="1"/>
  <c r="BS9" i="7"/>
  <c r="BV9" i="7" s="1"/>
  <c r="BS8" i="7"/>
  <c r="BV8" i="7" s="1"/>
  <c r="BS7" i="5"/>
  <c r="BS12" i="5"/>
  <c r="BS15" i="5"/>
  <c r="BS14" i="5"/>
  <c r="BS13" i="5"/>
  <c r="BS9" i="5"/>
  <c r="BS5" i="5"/>
  <c r="BS20" i="5"/>
  <c r="BS6" i="5"/>
  <c r="BS16" i="5"/>
  <c r="BS10" i="5"/>
  <c r="BS21" i="5"/>
  <c r="BS17" i="5"/>
  <c r="BS4" i="5"/>
  <c r="BS11" i="5"/>
  <c r="BS8" i="5"/>
  <c r="BS19" i="5"/>
  <c r="BS18" i="5"/>
</calcChain>
</file>

<file path=xl/sharedStrings.xml><?xml version="1.0" encoding="utf-8"?>
<sst xmlns="http://schemas.openxmlformats.org/spreadsheetml/2006/main" count="1013" uniqueCount="451">
  <si>
    <t>№</t>
  </si>
  <si>
    <t>Год</t>
  </si>
  <si>
    <t>Город</t>
  </si>
  <si>
    <t>Название</t>
  </si>
  <si>
    <t>Статус</t>
  </si>
  <si>
    <t>Координаты</t>
  </si>
  <si>
    <t>ЛОБНЯ</t>
  </si>
  <si>
    <t>ПАРК КУЛЬТУРЫ И ОТДЫХА НА УЛ. ЛЕНИНА «РЕКА ВРЕМЕНИ»</t>
  </si>
  <si>
    <t>Реализован</t>
  </si>
  <si>
    <t>МЕЗЕНЬ</t>
  </si>
  <si>
    <t>Регион</t>
  </si>
  <si>
    <t>АРХАНГЕЛЬСКАЯ ОБЛАСТЬ</t>
  </si>
  <si>
    <t>МОСКОВСКАЯ ОБЛАСТЬ</t>
  </si>
  <si>
    <t>АЛЕКСЕЕВКА</t>
  </si>
  <si>
    <t>БЕЛГОРОДСКАЯ ОБЛАСТЬ</t>
  </si>
  <si>
    <t>ВОЗРОЖДЕНИЕ. РАЗВИТИЕ ОБЩЕСТВЕННЫХ СВЯЗЕЙ ГОРОДА МЕЗЕНЬ И ОКРЕСТНЫХ СЕЛ И ДЕРЕВЕНЬ.</t>
  </si>
  <si>
    <t>ВЕЛЬСК</t>
  </si>
  <si>
    <t>НОВЫЙ СТАРЫЙ ФОРШТАДТ</t>
  </si>
  <si>
    <t>БЛАГОУСТРОЙСТВО НАБЕРЕЖНОЙ РЕКИ ТИХАЯ СОСНА, ПРАВЫЙ БЕРЕГ В Г. АЛЕКСЕЕВКА</t>
  </si>
  <si>
    <t>НИКОЛАЕВСК</t>
  </si>
  <si>
    <t>ВОЛГОГРАДСКАЯ ОБЛАСТЬ</t>
  </si>
  <si>
    <t>БЛАГОУСТРОЙСТВО ПАРКА И НАБЕРЕЖНОЙ «БЕЛЫЙ БЕРЕГ» В Г.НИКОЛАЕВСК ВОЛГОГРАДСКОЙ ОБЛАСТИ</t>
  </si>
  <si>
    <t>УРЮПИНСК</t>
  </si>
  <si>
    <t>ВИШНЕВЫЙ СКВЕР - ЦЕНТР ГОРОДСКОЙ КУЛЬТУРЫ</t>
  </si>
  <si>
    <t>ПАЛЛАСОВКА</t>
  </si>
  <si>
    <t>ПАРК «ТОРГУН»</t>
  </si>
  <si>
    <t>ПЕТРОВ ВАЛ</t>
  </si>
  <si>
    <t>ПРОСПЕКТ ПИОНЕРОВ И СКВЕР ЖЕЛЕЗНОДОРОЖНИКОВ</t>
  </si>
  <si>
    <t>БЕЛОЗЕРСК</t>
  </si>
  <si>
    <t>ВОЛОГОДСКАЯ ОБЛАСТЬ</t>
  </si>
  <si>
    <t>МОЯ БЕЛОЗЕРСКАЯ НАБЕРЕЖНАЯ</t>
  </si>
  <si>
    <t>Сумма гранта, млн.</t>
  </si>
  <si>
    <t>Сумма реализации, млн.</t>
  </si>
  <si>
    <t>ВЫТЕГРА</t>
  </si>
  <si>
    <t>РАЗВИТИЕ ОБЩЕСТВЕННО-КУЛЬТУРНОЙ ЗОНЫ ВДОЛЬ ИСТОРИЧЕСКОЙ НАБЕРЕЖНОЙ Р. ВЫТЕГРА, СОХРАНИВШЕЙ ЭЛЕМЕНТЫ МАРИИНСКОЙ ВОДНОЙ СИСТЕМЫ, С РЕКОНСТРУКЦИЕЙ "ДЕТСКОГО ГОРОДКА»</t>
  </si>
  <si>
    <t>ЧЕРЕПОВЕЦ</t>
  </si>
  <si>
    <t>СОЛЯНОЙ САД: ВОССТАНОВЛЕНИЕ ИСТОРИЧЕСКОГО ДЕНДРОПАРКА В ГОРОДЕ ЧЕРЕПОВЦЕ</t>
  </si>
  <si>
    <t>НОВОВОРОНЕЖ</t>
  </si>
  <si>
    <t>ВОРОНЕЖСКАЯ ОБЛАСТЬ</t>
  </si>
  <si>
    <t>БЛАГОУСТРОЙСТВО ГОРОДСКОГО ПАРКА "НОВОПАРК" ГОРОДА НОВОВОРОНЕЖА</t>
  </si>
  <si>
    <t>ЛИСКИ</t>
  </si>
  <si>
    <t>БЛАГОУСТРОЙСТВО ПАРКА ПО УЛ. КОМИНТЕРНА В Г. ЛИСКИ «ПАРК ГОРКИ»</t>
  </si>
  <si>
    <t>БОГУЧАР</t>
  </si>
  <si>
    <t>ВИД НА ЦАРСКИЙ САД. БЛАГОУСТРОЙСТВО ПРИБРЕЖНОЙ ЗОНЫ И ПЛЯЖА В ГОРОДЕ БОГУЧАР</t>
  </si>
  <si>
    <t>БОБРОВ</t>
  </si>
  <si>
    <t>ГОРОДСКАЯ ГОСТИНАЯ. КОМПЛЕКСНОЕ РАЗВИТИЕ ОБЩЕСТВЕННЫХ ПРОСТРАНСТВ, ПЕШЕХОДНОЙ И ВЕЛОИНФРАСТРУКТУРЫ ЦЕНТРАЛЬНОЙ ЧАСТИ ГОРОДА БОБРОВ</t>
  </si>
  <si>
    <t>БИРОБИДЖАН</t>
  </si>
  <si>
    <t>БЛАГОУСТРОЙСТВО ТЕРРИТОРИИ «ПАРК КУЛЬТУРЫ И ОТДЫХА»</t>
  </si>
  <si>
    <t>ЕВРЕЙСКАЯ АВТОНОМНАЯ ОБЛАСТЬ</t>
  </si>
  <si>
    <t>БОРЗЯ</t>
  </si>
  <si>
    <t>КОНЦЕПЦИЯ РАЗВИТИЯ И БЛАГОУСТРОЙСТВА ЦЕНТРА ГОРОДА БОРЗЯ «ЭНЕРГИЯ СОЛНЦА»</t>
  </si>
  <si>
    <t>ЗАБАЙКАЛЬСКИЙ КРАЙ</t>
  </si>
  <si>
    <t>КРАСНОКАМЕНСК</t>
  </si>
  <si>
    <t>РЕКОНСТРУКЦИЯ ДЕТСКОГО ПАРКА КУЛЬТУРЫ И ОТДЫХА (АТТРАКЦИОНЫ) – УРАНОВЫЙ ПАРК</t>
  </si>
  <si>
    <t>СРЕТЕНСК</t>
  </si>
  <si>
    <t>«СРЕТЕНСК. МЕСТО ВСТРЕЧИ» - КОНЦЕПЦИЯ РАЗВИТИЯ И БЛАГОУСТРОЙСТВА ЦЕНТРАЛЬНОЙ ЧАСТИ ГОРОДА СРЕТЕНСКА</t>
  </si>
  <si>
    <t>КОМСОМОЛЬСК</t>
  </si>
  <si>
    <t>ИВАНОВСКАЯ ОБЛАСТЬ</t>
  </si>
  <si>
    <t>ГОРОД ПОБЕДИВШЕЙ ЭНЕРГИИ</t>
  </si>
  <si>
    <t>РОДНИКИ</t>
  </si>
  <si>
    <t>ЗЕЛЕНЫЙ КАМПУС</t>
  </si>
  <si>
    <t>ПРИВОЛЖСК</t>
  </si>
  <si>
    <t>МАСТЕРСКАЯ У ВОЛГИ</t>
  </si>
  <si>
    <t>БАЙКАЛЬСК</t>
  </si>
  <si>
    <t>ИРКУТСКАЯ ОБЛАСТЬ</t>
  </si>
  <si>
    <t>«БАЙКАЛЬСК – ГОРОД ДЛЯ ЖИЗНИ НА БЕРЕГУ БАЙКАЛА». РЕКОНЦЕПЦИЯ ГЛАВНОГО ОБЩЕСТВЕННОГО ПРОСТРАНСТВА ГОРОДА</t>
  </si>
  <si>
    <t>НИЖНЕУДИНСК</t>
  </si>
  <si>
    <t>БЛАГОУСТРОЙСТВО ПАРКА ГОРОДСКОГО ДВОРЦА КУЛЬТУРЫ И НАБЕРЕЖНОЙ РЕКИ ЗАСТРЯНКА</t>
  </si>
  <si>
    <t>УСОЛЬЕ-СИБИРСКОЕ</t>
  </si>
  <si>
    <t>"ВСЯ СОЛЬ СИБИРИ. ОЗЕРО МОЛОДЕЖНОЕ, СВЯЗЫВАЮЩЕЕ ПОКОЛЕНИЯ" КОНЦЕПЦИЯ РАЗВИТИЯ И БЛАГОУСТРОЙСТВО РЕКРЕАЦИОННОГО ПРОСТРАНСТВА В ЦЕНТРАЛЬНОЙ ЧАСТИ ГОРОДА УСОЛЬЕ-СИБИРСКОЕ</t>
  </si>
  <si>
    <t>КИРЕНСК</t>
  </si>
  <si>
    <t>«ГОРОД-ОСТРОВ». КОНЦЕПЦИЯ РАЗВИТИЯ И БЛАГОУСТРОЙСТВА УЛИЦЫ ЛЕНСКИХ РАБОЧИХ В ГРАНИЦАХ УЛИЦЫ ЗАЙЦЕВА - ПЕРЕУЛКА УРИЦКОГО В ГОРОДЕ КИРЕНСКЕ</t>
  </si>
  <si>
    <t>ТАЙШЕТ</t>
  </si>
  <si>
    <t>РАЗВИТИЕ ЦЕНТРАЛЬНОГО ПАРКА Г.ТАЙШЕТ</t>
  </si>
  <si>
    <t>ЧЕГЕМ</t>
  </si>
  <si>
    <t>КАБАРДИНО-БАЛКАРСКАЯ РЕСПУБЛИКА</t>
  </si>
  <si>
    <t>ЧЕГЕМ-ПАРК</t>
  </si>
  <si>
    <t>ГУСЕВ</t>
  </si>
  <si>
    <t>КАЛИНИНГРАДСКАЯ ОБЛАСТЬ</t>
  </si>
  <si>
    <t>БЛАГОУСТРОЙСТВО ТЕРРИТОРИИ ПРИВОКЗАЛЬНОЙ ПЛОЩАДИ</t>
  </si>
  <si>
    <t>СВЕТЛОГОРСК</t>
  </si>
  <si>
    <t>ОТРАДНОЕ 2.0. ОТРАДНОЕ - ТЕРРИТОРИЯ ЛЕГЕНД</t>
  </si>
  <si>
    <t>СОСЕНСКИЙ</t>
  </si>
  <si>
    <t>КАЛУЖСКАЯ ОБЛАСТЬ</t>
  </si>
  <si>
    <t>БЛАГОУСТРОЙСТВО ОБЩЕСТВЕННОГО ПРОСТРАНСТВА ПЕШЕХОДНОЙ ЗОНЫ: ТЕРРИТОРИЯ ОТ ДЕТСКОГО САДА «ЕЛОЧКА», ВОКРУГ ДОМА КУЛЬТУРЫ «ГОРНЯК» ДО ХРАМА СВЯТОГО ПРП. СЕРАФИМА САРОВСКОГО</t>
  </si>
  <si>
    <t>ЖУКОВ</t>
  </si>
  <si>
    <t>ЛЕГЕНДЫ УГОДСКОГО ЗАВОДА</t>
  </si>
  <si>
    <t>ВИЛЮЧИНСК</t>
  </si>
  <si>
    <t>КАМЧАТСКИЙ КРАЙ</t>
  </si>
  <si>
    <t>БЛАГОУСТРОЙСТВО ВИЛЮЧИНСКОГО ПРОСПЕКТА</t>
  </si>
  <si>
    <t>КЕМЕРОВСКАЯ ОБЛАСТЬ</t>
  </si>
  <si>
    <t>ПАРК ВОКЗАЛЬНЫЙ</t>
  </si>
  <si>
    <t>КИРОВО-ЧЕПЕЦК</t>
  </si>
  <si>
    <t>КИРОВСКАЯ ОБЛАСТЬ</t>
  </si>
  <si>
    <t>РЕКА ВРЕМЕНИ. РЕНОВАЦИЯ СКВЕРА ПО УЛИЦЕ ПЕРВОМАЙСКАЯ</t>
  </si>
  <si>
    <t>НЕРЕХТА</t>
  </si>
  <si>
    <t>КОСТРОМСКАЯ ОБЛАСТЬ</t>
  </si>
  <si>
    <t>НЕРЕХТА КОНЦЕПЦИЯ БЛАГОУСТРОЙСТВА ПАРКА ТЕКСТИЛЬЩИКОВ «ТКАЦКИЙ ДВОР»</t>
  </si>
  <si>
    <t>ТАМАНЬ</t>
  </si>
  <si>
    <t>КРАСНОДАРСКИЙ КРАЙ</t>
  </si>
  <si>
    <t>«БЕРЕГ ТРЕХ МОРЕЙ» ПРОЕКТ БЛАГОУСТРОЙСТВА ПЛОЩАДИ УШАКОВА И ПРИЛЕГАЮЩЕЙ ТЕРРИТОРИИ К НЕЙ</t>
  </si>
  <si>
    <t>ЛАБИНСК</t>
  </si>
  <si>
    <t>БЛАГОУСТРОЙСТВО ОБЩЕСТВЕННОЙ ТЕРРИТОРИЯ ЗОНЫ ОТДЫХА «ЧИСТЫЕ ПРУДЫ»</t>
  </si>
  <si>
    <t>ТИХОРЕЦК</t>
  </si>
  <si>
    <t>БЛАГОУСТРОЙСТВО ТЕРРИТОРИИ ЦЕНТРАЛЬНОГО ПАРКА</t>
  </si>
  <si>
    <t>КУРГАНИНСК</t>
  </si>
  <si>
    <t>ГОРОДСКОЙ ПЛЯЖ</t>
  </si>
  <si>
    <t>БОРОДИНО</t>
  </si>
  <si>
    <t>КРАСНОЯРСКИЙ КРАЙ</t>
  </si>
  <si>
    <t>БЛАГОУСТРОЙСТВО УЛИЦЫ ЛЕНИНА. Г. БОРОДИНО</t>
  </si>
  <si>
    <t>КОДИНСК</t>
  </si>
  <si>
    <t>ГОРОДСКОЙ БУЛЬВАР. КОДИНСК</t>
  </si>
  <si>
    <t>КАНСК</t>
  </si>
  <si>
    <t>КАНСК КУПЕЧЕСКИЙ: ПРОЕКТ БЛАГОУСТРОЙСТВА ПЛОЩАДИ ИМЕНИ Н.И. КОРОСТЕЛЕВА</t>
  </si>
  <si>
    <t>ДАЛМАТОВО</t>
  </si>
  <si>
    <t>КУРГАНСКАЯ ОБЛАСТЬ</t>
  </si>
  <si>
    <t>ЛАНДШАФТНОЕ ПРЕОБРАЗОВАНИЕ СОЦИАЛЬНО-ЗНАЧИМЫХ ПРОСТРАНСТВ И СОЗДАНИЕ СПОРТИВНО ТУРИСТИЧЕСКОЙ ОСИ Г. ДАЛМАТОВО С ЦЕНТРОМ «БЕРЕЗОВАЯ РОЩА»</t>
  </si>
  <si>
    <t>ЖЕЛЕЗНОГОРСК</t>
  </si>
  <si>
    <t>БЛАГОУСТРОЙСТВО ГОРОДСКОГО ПАРКА ИМ. НИКИТИНА</t>
  </si>
  <si>
    <t>КУРЧАТОВ</t>
  </si>
  <si>
    <t>КУРСКАЯ ОБЛАСТЬ</t>
  </si>
  <si>
    <t>БЛАГОУСТРОЙСТВО НАБЕРЕЖНОЙ 4 И 5 МИКРОРАЙОНА «ТЕПЛЫЙ БЕРЕГ 2"</t>
  </si>
  <si>
    <t>ЛЬГОВ</t>
  </si>
  <si>
    <t>ЩИГРЫ</t>
  </si>
  <si>
    <t>ПАРКИ ЩИГРОВ. КОНЦЕПЦИЯ РАЗВИТИЯ ЦЕНТРАЛЬНОЙ ПЛОЩАДИ, ПЕШЕХОДНОЙ ЧАСТИ УЛ. КОМСОМОЛЬСКАЯ И ПАРКА КУЛЬТУРЫ И ОТДЫХА</t>
  </si>
  <si>
    <t>ИВАНГОРОД</t>
  </si>
  <si>
    <t>ЛЕНИНГРАДСКАЯ ОБЛАСТЬ</t>
  </si>
  <si>
    <t>ЛЕГЕНДЫ ДВОРОВ. КОНЦЕПЦИЯ РАЗВИТИЯ ПЕШЕХОДНОЙ УЛИЦЫ К. МАРКСА И ПРИЛЕГАЮЩИХ ДВОРОВЫХ ПРОСТРАНСТВ</t>
  </si>
  <si>
    <t>ПУСТЫРЬ МЕЖДУ УЛИЦАМИ ПАСТОРОВА И ТЕКСТИЛЬЩИКОВ С ЛЕСТНИЦАМИ К НАРВСКИМ ВОДОПАДАМ (ПАРУСИНКА)</t>
  </si>
  <si>
    <t>КИРИШИ</t>
  </si>
  <si>
    <t>ПРОЕКТ БЛАГОУСТРОЙСТВА ОБЩЕСТВЕННОЙ ТЕРРИТОРИИ ПАРК «ПРИБРЕЖНЫЙ»</t>
  </si>
  <si>
    <t>НОВАЯ ЛАДОГА</t>
  </si>
  <si>
    <t>ПРОСПЕКТ КАРЛА МАРКСА</t>
  </si>
  <si>
    <t>ВОЛХОВ</t>
  </si>
  <si>
    <t>РАССТАННАЯ ПЛОЩАДЬ И ЛЯГУШКИНА ДЕРЕВНЯ</t>
  </si>
  <si>
    <t>СЯСЬСТРОЙ</t>
  </si>
  <si>
    <t>СОСНОВЫЙ БОР</t>
  </si>
  <si>
    <t>УСМАНЬ</t>
  </si>
  <si>
    <t>ЛИПЕЦКАЯ ОБЛАСТЬ</t>
  </si>
  <si>
    <t>БЛАГОУСТРОЙСТВО АЛЛЕИ ИМ. БАСОВА И ПЛОЩАДИ ИМ. ЛЕНИНА В Г. УСМАНЬ</t>
  </si>
  <si>
    <t>ГРЯЗИ</t>
  </si>
  <si>
    <t>БЛАГОУСТРОЙСТВО НАБЕРЕЖНОЙ РЕКИ МАТЫРЫ В Г. ГРЯЗИ</t>
  </si>
  <si>
    <t>ЛЕБЕДЯНЬ</t>
  </si>
  <si>
    <t>БЛАГОУСТРОЙСТВО ПЕШЕХОДНОЙ УЛИЦЫ МИРЫ, БАЗАРНОЙ ПЛОЩАДИ И ПРИЛЕГАЮЩЕЙ ТЕРРИТОРИИ В Г. ЛЕБЕДЯНЬ</t>
  </si>
  <si>
    <t>МАГАДАН</t>
  </si>
  <si>
    <t>МАГАДАНСКАЯ ОБЛАСТЬ</t>
  </si>
  <si>
    <t>ПАРК ЭТНИЧЕСКОЙ КУЛЬТУРЫ НАРОДОВ СЕВЕРО-ВОСТОКА «ДЮКЧА» В Г. МАГАДАНЕ В РАЙОНЕ УСТЬЯ РЕКИ ДУКЧА</t>
  </si>
  <si>
    <t>Шебекино</t>
  </si>
  <si>
    <t>Белгородская область</t>
  </si>
  <si>
    <t>Рекреационная зона в районе ЦКР от ул. Лихачева до ул. 50 лет Октября</t>
  </si>
  <si>
    <t>Вязники</t>
  </si>
  <si>
    <t>Владимирская область</t>
  </si>
  <si>
    <t>Благоустройство Фатьяновского парка</t>
  </si>
  <si>
    <t>Новохопёрск</t>
  </si>
  <si>
    <t>Воронежская область</t>
  </si>
  <si>
    <t>Создание парка «Крымская горка»</t>
  </si>
  <si>
    <t>Россошь</t>
  </si>
  <si>
    <t>Создание экопарка «Каялов Бор»</t>
  </si>
  <si>
    <t>Павловск</t>
  </si>
  <si>
    <t>Благоустройство территории озера Тамбовского «Перламутровое озеро»</t>
  </si>
  <si>
    <t>Вичуга</t>
  </si>
  <si>
    <t>Ивановская область</t>
  </si>
  <si>
    <t>Концепция развития центра города Вичуга</t>
  </si>
  <si>
    <t>Фурманов</t>
  </si>
  <si>
    <t>Концепция развития центра Фурманова. Новый торг — от средских ярмарок к экономике будущего</t>
  </si>
  <si>
    <t>Гаврилов Посад</t>
  </si>
  <si>
    <t>Концепция развития городской набережной</t>
  </si>
  <si>
    <t>Кондрово</t>
  </si>
  <si>
    <t>Калужская область</t>
  </si>
  <si>
    <t>Благоустройство набережной реки Шаня и территории, прилегающей к дому Щепочкина</t>
  </si>
  <si>
    <t>Боровск</t>
  </si>
  <si>
    <t>Благоустройство площади Ленина</t>
  </si>
  <si>
    <t>Сухиничи</t>
  </si>
  <si>
    <t>Благоустройство городских родников и ул. Кравченко от ул. Московская до реки Брынь «Вышли сухиничи из воды»</t>
  </si>
  <si>
    <t>Шарья</t>
  </si>
  <si>
    <t>Костромская область</t>
  </si>
  <si>
    <t>Городской парк культуры и отдыха «Музей леса»</t>
  </si>
  <si>
    <t>Чаплыгин</t>
  </si>
  <si>
    <t>Липецкая область</t>
  </si>
  <si>
    <t>Благоустройство улицы и площади Советская</t>
  </si>
  <si>
    <t>Елец</t>
  </si>
  <si>
    <t>Благоустройство сквера имени И.А. Бунина и имени М.С. Соломенцева</t>
  </si>
  <si>
    <t>Данков</t>
  </si>
  <si>
    <t>Благоустройство набережной реки Дон в городе Данкове</t>
  </si>
  <si>
    <t>Ногинск</t>
  </si>
  <si>
    <t>Московская область</t>
  </si>
  <si>
    <t>Набережная реки Клязьма</t>
  </si>
  <si>
    <t>Волоколамск</t>
  </si>
  <si>
    <t>Московский тракт. Купеческая улица древнейшего города</t>
  </si>
  <si>
    <t>Егорьевск</t>
  </si>
  <si>
    <t>Благоустройство и развитие площади и улицы Александра Невского</t>
  </si>
  <si>
    <t>Сергиев Посад</t>
  </si>
  <si>
    <t>Пешеходная зона по «По пути наследия»</t>
  </si>
  <si>
    <t>Зарайск</t>
  </si>
  <si>
    <t>Набережная р. Осетр</t>
  </si>
  <si>
    <t>Дмитровск</t>
  </si>
  <si>
    <t>Орловская область</t>
  </si>
  <si>
    <t>Голубь Кантемира</t>
  </si>
  <si>
    <t>Гагарин</t>
  </si>
  <si>
    <t>Смоленская область</t>
  </si>
  <si>
    <t>Благоустройство центральной части города Гагарин в честь 60-летия первого полета человека в космос</t>
  </si>
  <si>
    <t>Десногорск</t>
  </si>
  <si>
    <t>Благоустройство общественной территории «Атомпарк»</t>
  </si>
  <si>
    <t>Конаково</t>
  </si>
  <si>
    <t>Тверская область</t>
  </si>
  <si>
    <t>Концепция благоустройства территории городской набережной с максимальным сохранением природного ландшафта</t>
  </si>
  <si>
    <t>Углич</t>
  </si>
  <si>
    <t>Ярославская область</t>
  </si>
  <si>
    <t>Углич. «Портрет Дориана Грея». Активация городских связей центральной части города</t>
  </si>
  <si>
    <t>Переславль-Залесский</t>
  </si>
  <si>
    <t>Проект благоустройства набережной зоны Плещеева озера</t>
  </si>
  <si>
    <t>Алексeeвка</t>
  </si>
  <si>
    <t>Благоустройство набережной реки Тихая Сосна, правый берег</t>
  </si>
  <si>
    <t>Не реализован</t>
  </si>
  <si>
    <t>-</t>
  </si>
  <si>
    <t>Нововоронеж</t>
  </si>
  <si>
    <t>Благоустройство городского парка "Новопарк"</t>
  </si>
  <si>
    <t>Лиски</t>
  </si>
  <si>
    <t>Благоустройство парка по ул. Коминтерна в г. Лиски «Парк Горки»</t>
  </si>
  <si>
    <t>Богучар</t>
  </si>
  <si>
    <t>Вид на Царский сад. Благоустройство прибрежной зоны и пляжа</t>
  </si>
  <si>
    <t>Бобров</t>
  </si>
  <si>
    <t>Городская гостиная. Комплексное развитие общественных пространств, пешеходной и велоинфраструктуры центральной части</t>
  </si>
  <si>
    <t>Комсомольск</t>
  </si>
  <si>
    <t>Город победившей энергии</t>
  </si>
  <si>
    <t>Родники</t>
  </si>
  <si>
    <t>Зеленый кампус</t>
  </si>
  <si>
    <t>Приволжск</t>
  </si>
  <si>
    <t>Мастерская у Волги</t>
  </si>
  <si>
    <t>Жуков</t>
  </si>
  <si>
    <t>Легенды Угодского завода</t>
  </si>
  <si>
    <t>Сосенский</t>
  </si>
  <si>
    <t>Благоустройство общественного пространства пешеходной зоны</t>
  </si>
  <si>
    <t>Нерехта</t>
  </si>
  <si>
    <t>Нерехта концепция благоустройства парка Текстильщиков «Ткацкий двор»</t>
  </si>
  <si>
    <t>Усмань</t>
  </si>
  <si>
    <t>Благоустройство аллеи им. Басова и площади им. Ленина</t>
  </si>
  <si>
    <t>Грязи</t>
  </si>
  <si>
    <t>Благоустройство набережной реки Матыры</t>
  </si>
  <si>
    <t>Лебедянь</t>
  </si>
  <si>
    <t>Благоустройство пешеходной улицы Мира, Базарной площади и прилегающей территории</t>
  </si>
  <si>
    <t>Лобня</t>
  </si>
  <si>
    <t>Парк культуры и отдыха на ул. Ленина «Река времени»</t>
  </si>
  <si>
    <t>Чехов</t>
  </si>
  <si>
    <t>Благоустройство территории вокруг пруда реки Теребенка</t>
  </si>
  <si>
    <t>Звенигород</t>
  </si>
  <si>
    <t>Звенигород — Гостиный город</t>
  </si>
  <si>
    <t>Орехово-Зуево</t>
  </si>
  <si>
    <t>Пешеходная зона «Набережная реки Клязьма»</t>
  </si>
  <si>
    <t>Бронницы</t>
  </si>
  <si>
    <t>Территория вокруг озера Бельское от Крымского моста до озера Старичное...</t>
  </si>
  <si>
    <t>Озеры</t>
  </si>
  <si>
    <t>Территория за кинотеатром «Амигос» и пляжная зона (карьер «Западный»)</t>
  </si>
  <si>
    <t>Истра</t>
  </si>
  <si>
    <t>Территория от пл. Революции по ул.15 лет комсомола до детской поликлиники (ул. Шнырёва)</t>
  </si>
  <si>
    <t>Малоархангельск</t>
  </si>
  <si>
    <t>Малоархангельский парк</t>
  </si>
  <si>
    <t>Ливны</t>
  </si>
  <si>
    <t>Парк машиностроителей</t>
  </si>
  <si>
    <t>Болхов</t>
  </si>
  <si>
    <t>Сад-городок</t>
  </si>
  <si>
    <t>Кораблино</t>
  </si>
  <si>
    <t>Рязанская область</t>
  </si>
  <si>
    <t>Концепция развития «Берёзовый парк» в г. Кораблино</t>
  </si>
  <si>
    <t>Велиж</t>
  </si>
  <si>
    <t>Ревтализация исторического центра города Велиж «Площадь времени»</t>
  </si>
  <si>
    <t>Рославль</t>
  </si>
  <si>
    <t>Ревтализация исторического центра города Рославль «Пространство культуры - пространство истории»</t>
  </si>
  <si>
    <t>Сычевка</t>
  </si>
  <si>
    <t>Проект благоустройства городского парка г. Сычёвка «Парк сыча»</t>
  </si>
  <si>
    <t>Рассказово</t>
  </si>
  <si>
    <t>Тамбовская область</t>
  </si>
  <si>
    <t>Реновация городского сада, как части единой рекреационной зоны г. Рассказово</t>
  </si>
  <si>
    <t>Осташков</t>
  </si>
  <si>
    <t>Благоустройство набережной и прилегающей к ней общественной территории, расположенной в г.Осташков</t>
  </si>
  <si>
    <t>Калязин</t>
  </si>
  <si>
    <t>Концепция благоустройства набережной р. Волга и спуска к колокольне Николаевского собора</t>
  </si>
  <si>
    <t>Нелидово</t>
  </si>
  <si>
    <t>Бежецк</t>
  </si>
  <si>
    <t>Проект благоустройства городского сада в г. Бежецк – «Бежецкий верх»</t>
  </si>
  <si>
    <t>Торопец</t>
  </si>
  <si>
    <t>Плавск</t>
  </si>
  <si>
    <t>Тульская область</t>
  </si>
  <si>
    <t>Концепция благоустройства общественной лесопарковой территории «Гагаринский парк. Княжеское наследие»</t>
  </si>
  <si>
    <t>Липки</t>
  </si>
  <si>
    <t>Узловая</t>
  </si>
  <si>
    <t>Пошехонье</t>
  </si>
  <si>
    <t>Благоустройство исторической части города Пошехонье - площади Свободы «Город пяти рек и семи мостов»</t>
  </si>
  <si>
    <t>Тутаев</t>
  </si>
  <si>
    <t>51.102614, 41.621143</t>
  </si>
  <si>
    <t>50.201639, 39.489888</t>
  </si>
  <si>
    <t>Концепция развития городского центра г. Гаврилов Посад</t>
  </si>
  <si>
    <t>Концепция развития центра Фурманова</t>
  </si>
  <si>
    <t>57.250896, 41.108061
57.245932, 41.113930
57.248800, 41.113073</t>
  </si>
  <si>
    <t>Площадь Ленина в Боровске — AI Architects — Бюро архитектурных решений</t>
  </si>
  <si>
    <t>55.207536, 36.483916</t>
  </si>
  <si>
    <t>"БЛАГОУСТРОЙСТВО ГОРОДСКИХ РОДНИКОВ И УЛ. КРАВЧЕНКО ОТ УЛ. МОСКОВСКАЯ ДО РЕКИ БРЫНЬ «ВЫШЛИ СУХИНИЧИ ИЗ ВОДЫ» - СтройТехПроект Калуга</t>
  </si>
  <si>
    <t>58.384604, 45.494894</t>
  </si>
  <si>
    <t>Сквер имени Бунина и сквер имени Соломенцева</t>
  </si>
  <si>
    <t>52.622288, 38.498700
52.621825, 38.498455</t>
  </si>
  <si>
    <t>Набережная реки Клязьма в Ногинске</t>
  </si>
  <si>
    <t>55.861917, 38.446461</t>
  </si>
  <si>
    <t>Московский тракт в Волоколамске</t>
  </si>
  <si>
    <t>Благоустройство ул. Александра Невского в Егорьевске</t>
  </si>
  <si>
    <t>Набережная реки Осётр и благоустроенные скверы в Зарайске</t>
  </si>
  <si>
    <t>"Голубь Кантемира" - история одного проекта | SteinRus | Дзен</t>
  </si>
  <si>
    <t>Набережная правого береги реки Тихая Сосна</t>
  </si>
  <si>
    <t>Новопарк в Нововоронеже - Проектное бюро М4 — официальный сайт</t>
  </si>
  <si>
    <t>Парк «Река времени» в Лобне</t>
  </si>
  <si>
    <t>Благоустройство набережной вдоль реки Теребенька в Чехове</t>
  </si>
  <si>
    <t>55.146553, 37.466362</t>
  </si>
  <si>
    <t>55.731719, 36.849934</t>
  </si>
  <si>
    <t>Набережная реки Клязьма в Орехово-Зуево</t>
  </si>
  <si>
    <t>«Глазам не поверили!» Жители Бронниц расхвалили губернатору благоустройство территории у озера Бельское | Телеканал 360 | Дзен</t>
  </si>
  <si>
    <t>52.400482, 36.506585</t>
  </si>
  <si>
    <t>Орловская трехлетка: рыбацкие пирсы, лодочная станция, экологические тропы и 50 млн рублей на благоустройство</t>
  </si>
  <si>
    <t>В Малоархангельске открыли обновлённый пар... | Город Орел! Орловчане ВКонтакте</t>
  </si>
  <si>
    <t>В Ливнах благоустроили Парк Машиностроителей. — Видео</t>
  </si>
  <si>
    <t>52.402539, 37.561085</t>
  </si>
  <si>
    <t>53.441034, 36.007166</t>
  </si>
  <si>
    <t>Проект «Сад-Городок»</t>
  </si>
  <si>
    <t>БЕРЁЗОВЫЙ ПАРКПроект парка за памятником П... | Комфортная городская среда. г.Кораблино</t>
  </si>
  <si>
    <t>53.926712, 40.047816</t>
  </si>
  <si>
    <t>Велиж — Площадь времени: Ревитализация исторического центра города</t>
  </si>
  <si>
    <t>Площадь Времени | "Новая Земля"</t>
  </si>
  <si>
    <t>55.605838, 31.194264</t>
  </si>
  <si>
    <t>57.157211, 33.105513</t>
  </si>
  <si>
    <t>https://vk.com/wall-27294627_11954?ysclid=mk1sejeqgf162976832</t>
  </si>
  <si>
    <t>В будущее, не изменяя традициям: в Нелидове подготовлена концепция реновации центра города</t>
  </si>
  <si>
    <t>Липки - рестарт. Проект благоустройства парка г. Липки»</t>
  </si>
  <si>
    <t>«Липки-Рестарт»: как заброшенный парк превращают в место притяжения - Новости Тулы и области - 1tulatv</t>
  </si>
  <si>
    <t>53.941601, 37.704890</t>
  </si>
  <si>
    <t>Узелок. Концепция благоустройства общественной территории в районе Свиридовского пруда города Узловая</t>
  </si>
  <si>
    <t>Торопец манит. Концепция реновации ул. Советской и территории Базарной площади</t>
  </si>
  <si>
    <t>Луч коногонки</t>
  </si>
  <si>
    <t>Восхождение к адмиралу Ушакову. Комплексное благоустройство исторической центральной части Романовской стороны города Тутаева</t>
  </si>
  <si>
    <t>УзелОк: Благоустройство зоны Свиридовского пруда г.Узловая | Студия A618</t>
  </si>
  <si>
    <t>53.976366, 38.162458</t>
  </si>
  <si>
    <t>Благоустройство ярославского райцентра проверят СКР и прокуратура - Российская газета</t>
  </si>
  <si>
    <t>Сотрудников и посетителей супермаркетов в Ярославле штрафуют за несоблюдение масочного режима | Телеканал ЯПервый</t>
  </si>
  <si>
    <t>Пост от 23 марта 2019, 18:02 | URBANMAF | УрбанМАФ | Уличная мебель</t>
  </si>
  <si>
    <t>Благоустройство Фатьяновского парка в г. Вязники</t>
  </si>
  <si>
    <t>Создание парка «Крымская горка» в г. Новохоперск</t>
  </si>
  <si>
    <t>«Уполномоченные», но «непричастные»: как в Воронежской области построили и сгноили парк за бюджетные миллионы. Часть II | МОЁ! Online. Воронеж | Дзен</t>
  </si>
  <si>
    <t>Общественники раскритиковали обветшавший парк за 54 миллиона в Новохопёрске – Новости Воронежа и Воронежской области – Вести Воронеж</t>
  </si>
  <si>
    <t>Плач, затмение и городище</t>
  </si>
  <si>
    <t>Экопарк «Каялов Бор» в городе Россошь</t>
  </si>
  <si>
    <t>Новая жемчужина под Воронежем. Как обустроили видовое место одного из лучших моногородов России</t>
  </si>
  <si>
    <t>Культурная значимость</t>
  </si>
  <si>
    <t>Религиозные объекты</t>
  </si>
  <si>
    <t>Досуг</t>
  </si>
  <si>
    <t>Культ. Значимость</t>
  </si>
  <si>
    <t>Религ. Объекты</t>
  </si>
  <si>
    <t>Общ. Питание</t>
  </si>
  <si>
    <t>Спорт. Крупные</t>
  </si>
  <si>
    <t>Спорт. Локальные</t>
  </si>
  <si>
    <t>Игр. Инфраструктура</t>
  </si>
  <si>
    <t>Space Syntax знач.</t>
  </si>
  <si>
    <t xml:space="preserve">До </t>
  </si>
  <si>
    <t>После</t>
  </si>
  <si>
    <t>Сумма</t>
  </si>
  <si>
    <t>Δ норм.</t>
  </si>
  <si>
    <t>Δ/млн.</t>
  </si>
  <si>
    <t>Latitude</t>
  </si>
  <si>
    <t>Longitude</t>
  </si>
  <si>
    <t>41.108061
41.113930
41.113073</t>
  </si>
  <si>
    <t>57.250896
57.245932
57.248800</t>
  </si>
  <si>
    <t>38.4987
38.498455</t>
  </si>
  <si>
    <t>52.622288
52.621825</t>
  </si>
  <si>
    <t>42,138423 56,249394</t>
  </si>
  <si>
    <t>5&lt;10</t>
  </si>
  <si>
    <t>10&lt;15</t>
  </si>
  <si>
    <t>15&lt;20</t>
  </si>
  <si>
    <t>20&lt;25</t>
  </si>
  <si>
    <t>5&lt;</t>
  </si>
  <si>
    <t>Категория</t>
  </si>
  <si>
    <t>Баллы</t>
  </si>
  <si>
    <t>Досуговая инфраструктура</t>
  </si>
  <si>
    <t>Объекты культурной ценности</t>
  </si>
  <si>
    <t>Спортивная инфраструктура</t>
  </si>
  <si>
    <t>Транспортная инфраструктура</t>
  </si>
  <si>
    <t>Инфраструктура общественного питания</t>
  </si>
  <si>
    <t>Детская инфраструктура</t>
  </si>
  <si>
    <t>?</t>
  </si>
  <si>
    <t>Сумма Досуг</t>
  </si>
  <si>
    <t>До</t>
  </si>
  <si>
    <t>Сумма Культ.</t>
  </si>
  <si>
    <t>Сумма Общ. Пит</t>
  </si>
  <si>
    <t>Сумма игровая</t>
  </si>
  <si>
    <t>Метрика</t>
  </si>
  <si>
    <t>Вес</t>
  </si>
  <si>
    <t>Ключ=значение</t>
  </si>
  <si>
    <t>Геоданные</t>
  </si>
  <si>
    <t>amenity=theatre</t>
  </si>
  <si>
    <t>amenity=cinema</t>
  </si>
  <si>
    <t>amenity=community_centre</t>
  </si>
  <si>
    <t>amenity=stage</t>
  </si>
  <si>
    <t>amenity=library</t>
  </si>
  <si>
    <r>
      <t>amenity</t>
    </r>
    <r>
      <rPr>
        <sz val="11"/>
        <color rgb="FF202122"/>
        <rFont val="Calibri"/>
        <family val="2"/>
        <charset val="204"/>
        <scheme val="minor"/>
      </rPr>
      <t>=exhibition_centre</t>
    </r>
  </si>
  <si>
    <t>tourism=zoo</t>
  </si>
  <si>
    <t>Фильтр</t>
  </si>
  <si>
    <t>tourism=gallery</t>
  </si>
  <si>
    <t>tourism=museum</t>
  </si>
  <si>
    <t>tourism=artwork</t>
  </si>
  <si>
    <t>tourism=viewpoint</t>
  </si>
  <si>
    <t>government=register_office</t>
  </si>
  <si>
    <t>historic=memorial</t>
  </si>
  <si>
    <t>memorial=statue</t>
  </si>
  <si>
    <t>amenity=place_of_worship</t>
  </si>
  <si>
    <t>religion=christian</t>
  </si>
  <si>
    <t>Общественное питание</t>
  </si>
  <si>
    <t>amenity=cafe</t>
  </si>
  <si>
    <t>amenity=restaurant</t>
  </si>
  <si>
    <r>
      <t>amenity=</t>
    </r>
    <r>
      <rPr>
        <sz val="11"/>
        <color rgb="FF232323"/>
        <rFont val="Calibri"/>
        <family val="2"/>
        <charset val="204"/>
        <scheme val="minor"/>
      </rPr>
      <t>fast_food</t>
    </r>
  </si>
  <si>
    <r>
      <t>amenity=</t>
    </r>
    <r>
      <rPr>
        <sz val="11"/>
        <color rgb="FF232323"/>
        <rFont val="Calibri"/>
        <family val="2"/>
        <charset val="204"/>
        <scheme val="minor"/>
      </rPr>
      <t>ice_cream</t>
    </r>
  </si>
  <si>
    <t>Спортивные объекты: крупные</t>
  </si>
  <si>
    <t>leisure=stadium, leisure=ice_rink</t>
  </si>
  <si>
    <t>leisure=sports_centre</t>
  </si>
  <si>
    <t>leisure=fitness_centre</t>
  </si>
  <si>
    <t>Спортивные объекты: локальные</t>
  </si>
  <si>
    <t>sport=soccer</t>
  </si>
  <si>
    <t>sport=football</t>
  </si>
  <si>
    <t>sport=volley</t>
  </si>
  <si>
    <t>sport=basketball</t>
  </si>
  <si>
    <t>Игровая инфраструктура</t>
  </si>
  <si>
    <t>amenity=kindergarten</t>
  </si>
  <si>
    <t>leisure=playground</t>
  </si>
  <si>
    <t>Социоданные (СМИ, отзывы, комментарии)</t>
  </si>
  <si>
    <t>Отзывы по группам ВК</t>
  </si>
  <si>
    <t>Позитивные</t>
  </si>
  <si>
    <t>Негативные</t>
  </si>
  <si>
    <t>Было выявлено, что люди в основном недовольны любыми изменениями</t>
  </si>
  <si>
    <t>Статьи в СМИ</t>
  </si>
  <si>
    <t>Δ</t>
  </si>
  <si>
    <t>МИН</t>
  </si>
  <si>
    <t>МАКС</t>
  </si>
  <si>
    <t>park</t>
  </si>
  <si>
    <t>square</t>
  </si>
  <si>
    <t>embarkment</t>
  </si>
  <si>
    <t>Стоимость строительства м2</t>
  </si>
  <si>
    <t>Park</t>
  </si>
  <si>
    <t>Square</t>
  </si>
  <si>
    <t>Embarkment</t>
  </si>
  <si>
    <t>amenity=marketplace</t>
  </si>
  <si>
    <t>amenity=bank</t>
  </si>
  <si>
    <t>shop=supermarket</t>
  </si>
  <si>
    <t>Ритейл</t>
  </si>
  <si>
    <t>(Δ/млн.) /жилье</t>
  </si>
  <si>
    <t>Норм. Инфл.</t>
  </si>
  <si>
    <t>Δ итоговая</t>
  </si>
  <si>
    <t>Оценка промежуточная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</si>
</sst>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1"/>
      <color rgb="FF101418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  <font>
      <sz val="11"/>
      <color rgb="FF232323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1"/>
    <xf numFmtId="0" fontId="4" fillId="0" borderId="0" xfId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1" applyFill="1" applyAlignment="1">
      <alignment wrapText="1"/>
    </xf>
    <xf numFmtId="0" fontId="0" fillId="2" borderId="0" xfId="0" applyFill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ill="1"/>
    <xf numFmtId="0" fontId="4" fillId="3" borderId="0" xfId="1" applyFill="1" applyAlignment="1">
      <alignment wrapText="1"/>
    </xf>
    <xf numFmtId="0" fontId="0" fillId="3" borderId="0" xfId="0" applyFill="1" applyAlignment="1">
      <alignment horizontal="left" vertical="center"/>
    </xf>
    <xf numFmtId="0" fontId="0" fillId="3" borderId="0" xfId="0" applyFill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0" xfId="1" applyFill="1" applyAlignment="1">
      <alignment wrapText="1"/>
    </xf>
    <xf numFmtId="0" fontId="0" fillId="4" borderId="0" xfId="0" applyFill="1"/>
    <xf numFmtId="0" fontId="4" fillId="4" borderId="0" xfId="1" applyFill="1"/>
    <xf numFmtId="0" fontId="3" fillId="4" borderId="1" xfId="0" applyFont="1" applyFill="1" applyBorder="1" applyAlignment="1">
      <alignment horizontal="center" vertical="center" wrapText="1"/>
    </xf>
    <xf numFmtId="0" fontId="5" fillId="4" borderId="0" xfId="1" applyFont="1" applyFill="1" applyAlignment="1">
      <alignment wrapText="1"/>
    </xf>
    <xf numFmtId="0" fontId="4" fillId="4" borderId="0" xfId="1" applyFill="1" applyBorder="1" applyAlignment="1">
      <alignment horizontal="left" vertical="center" wrapText="1"/>
    </xf>
    <xf numFmtId="0" fontId="5" fillId="2" borderId="0" xfId="1" applyFont="1" applyFill="1" applyAlignment="1">
      <alignment wrapText="1"/>
    </xf>
    <xf numFmtId="0" fontId="4" fillId="2" borderId="0" xfId="1" applyFill="1"/>
    <xf numFmtId="0" fontId="5" fillId="0" borderId="0" xfId="1" applyFont="1" applyFill="1" applyAlignment="1">
      <alignment wrapText="1"/>
    </xf>
    <xf numFmtId="0" fontId="4" fillId="0" borderId="0" xfId="1" applyFill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4" fillId="0" borderId="20" xfId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1" xfId="0" applyFill="1" applyBorder="1"/>
    <xf numFmtId="0" fontId="0" fillId="5" borderId="12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9" xfId="0" applyFill="1" applyBorder="1"/>
    <xf numFmtId="0" fontId="0" fillId="6" borderId="10" xfId="0" applyFill="1" applyBorder="1"/>
    <xf numFmtId="0" fontId="0" fillId="7" borderId="9" xfId="0" applyFill="1" applyBorder="1"/>
    <xf numFmtId="0" fontId="0" fillId="7" borderId="10" xfId="0" applyFill="1" applyBorder="1"/>
    <xf numFmtId="0" fontId="0" fillId="8" borderId="9" xfId="0" applyFill="1" applyBorder="1"/>
    <xf numFmtId="0" fontId="0" fillId="8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9" xfId="0" applyFill="1" applyBorder="1"/>
    <xf numFmtId="0" fontId="0" fillId="9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0" borderId="0" xfId="0" applyBorder="1"/>
    <xf numFmtId="0" fontId="0" fillId="6" borderId="27" xfId="0" applyFill="1" applyBorder="1"/>
    <xf numFmtId="0" fontId="0" fillId="6" borderId="28" xfId="0" applyFill="1" applyBorder="1"/>
    <xf numFmtId="0" fontId="0" fillId="6" borderId="13" xfId="0" applyFill="1" applyBorder="1"/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0" fillId="6" borderId="1" xfId="0" applyFill="1" applyBorder="1"/>
    <xf numFmtId="0" fontId="0" fillId="6" borderId="6" xfId="0" applyFill="1" applyBorder="1"/>
    <xf numFmtId="0" fontId="0" fillId="6" borderId="4" xfId="0" applyFill="1" applyBorder="1"/>
    <xf numFmtId="0" fontId="0" fillId="6" borderId="3" xfId="0" applyFill="1" applyBorder="1"/>
    <xf numFmtId="0" fontId="0" fillId="6" borderId="36" xfId="0" applyFill="1" applyBorder="1"/>
    <xf numFmtId="0" fontId="0" fillId="6" borderId="34" xfId="0" applyFill="1" applyBorder="1"/>
    <xf numFmtId="0" fontId="0" fillId="7" borderId="1" xfId="0" applyFill="1" applyBorder="1"/>
    <xf numFmtId="0" fontId="0" fillId="5" borderId="13" xfId="0" applyFill="1" applyBorder="1"/>
    <xf numFmtId="0" fontId="0" fillId="7" borderId="3" xfId="0" applyFill="1" applyBorder="1"/>
    <xf numFmtId="0" fontId="0" fillId="8" borderId="1" xfId="0" applyFill="1" applyBorder="1"/>
    <xf numFmtId="0" fontId="0" fillId="8" borderId="4" xfId="0" applyFill="1" applyBorder="1"/>
    <xf numFmtId="0" fontId="0" fillId="9" borderId="13" xfId="0" applyFill="1" applyBorder="1"/>
    <xf numFmtId="0" fontId="0" fillId="9" borderId="5" xfId="0" applyFill="1" applyBorder="1"/>
    <xf numFmtId="0" fontId="0" fillId="8" borderId="3" xfId="0" applyFill="1" applyBorder="1"/>
    <xf numFmtId="0" fontId="0" fillId="8" borderId="6" xfId="0" applyFill="1" applyBorder="1"/>
    <xf numFmtId="0" fontId="0" fillId="7" borderId="11" xfId="0" applyFill="1" applyBorder="1"/>
    <xf numFmtId="0" fontId="0" fillId="7" borderId="12" xfId="0" applyFill="1" applyBorder="1"/>
    <xf numFmtId="0" fontId="0" fillId="8" borderId="11" xfId="0" applyFill="1" applyBorder="1"/>
    <xf numFmtId="0" fontId="0" fillId="8" borderId="12" xfId="0" applyFill="1" applyBorder="1"/>
    <xf numFmtId="0" fontId="0" fillId="4" borderId="18" xfId="0" applyFill="1" applyBorder="1"/>
    <xf numFmtId="0" fontId="0" fillId="4" borderId="38" xfId="0" applyFill="1" applyBorder="1"/>
    <xf numFmtId="0" fontId="0" fillId="4" borderId="19" xfId="0" applyFill="1" applyBorder="1"/>
    <xf numFmtId="0" fontId="0" fillId="11" borderId="18" xfId="0" applyFill="1" applyBorder="1"/>
    <xf numFmtId="0" fontId="0" fillId="11" borderId="38" xfId="0" applyFill="1" applyBorder="1"/>
    <xf numFmtId="0" fontId="0" fillId="11" borderId="19" xfId="0" applyFill="1" applyBorder="1"/>
    <xf numFmtId="0" fontId="0" fillId="12" borderId="17" xfId="0" applyFill="1" applyBorder="1"/>
    <xf numFmtId="0" fontId="0" fillId="12" borderId="38" xfId="0" applyFill="1" applyBorder="1"/>
    <xf numFmtId="0" fontId="0" fillId="12" borderId="19" xfId="0" applyFill="1" applyBorder="1"/>
    <xf numFmtId="0" fontId="2" fillId="9" borderId="50" xfId="0" applyFont="1" applyFill="1" applyBorder="1" applyAlignment="1">
      <alignment vertical="center"/>
    </xf>
    <xf numFmtId="0" fontId="2" fillId="9" borderId="31" xfId="0" applyFont="1" applyFill="1" applyBorder="1" applyAlignment="1">
      <alignment vertical="center"/>
    </xf>
    <xf numFmtId="0" fontId="0" fillId="4" borderId="40" xfId="0" applyFill="1" applyBorder="1"/>
    <xf numFmtId="0" fontId="2" fillId="0" borderId="1" xfId="0" applyFont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0" fillId="12" borderId="40" xfId="0" applyFill="1" applyBorder="1"/>
    <xf numFmtId="0" fontId="0" fillId="12" borderId="54" xfId="0" applyFill="1" applyBorder="1"/>
    <xf numFmtId="0" fontId="0" fillId="6" borderId="55" xfId="0" applyFill="1" applyBorder="1"/>
    <xf numFmtId="0" fontId="0" fillId="11" borderId="49" xfId="0" applyFill="1" applyBorder="1"/>
    <xf numFmtId="0" fontId="0" fillId="7" borderId="13" xfId="0" applyFill="1" applyBorder="1"/>
    <xf numFmtId="0" fontId="0" fillId="7" borderId="5" xfId="0" applyFill="1" applyBorder="1"/>
    <xf numFmtId="0" fontId="0" fillId="7" borderId="28" xfId="0" applyFill="1" applyBorder="1"/>
    <xf numFmtId="0" fontId="0" fillId="7" borderId="27" xfId="0" applyFill="1" applyBorder="1"/>
    <xf numFmtId="0" fontId="0" fillId="8" borderId="55" xfId="0" applyFill="1" applyBorder="1"/>
    <xf numFmtId="0" fontId="0" fillId="8" borderId="51" xfId="0" applyFill="1" applyBorder="1"/>
    <xf numFmtId="0" fontId="6" fillId="0" borderId="1" xfId="0" applyFont="1" applyBorder="1"/>
    <xf numFmtId="0" fontId="7" fillId="0" borderId="1" xfId="0" applyFont="1" applyBorder="1"/>
    <xf numFmtId="0" fontId="0" fillId="0" borderId="4" xfId="0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5" xfId="0" applyBorder="1"/>
    <xf numFmtId="0" fontId="0" fillId="0" borderId="38" xfId="0" applyBorder="1"/>
    <xf numFmtId="0" fontId="9" fillId="0" borderId="45" xfId="0" applyFont="1" applyBorder="1"/>
    <xf numFmtId="0" fontId="0" fillId="0" borderId="14" xfId="0" applyFill="1" applyBorder="1"/>
    <xf numFmtId="0" fontId="0" fillId="0" borderId="8" xfId="0" applyBorder="1"/>
    <xf numFmtId="0" fontId="0" fillId="0" borderId="51" xfId="0" applyBorder="1"/>
    <xf numFmtId="0" fontId="0" fillId="0" borderId="56" xfId="0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/>
    <xf numFmtId="0" fontId="9" fillId="0" borderId="2" xfId="0" applyFont="1" applyBorder="1"/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0" fillId="10" borderId="28" xfId="0" applyFill="1" applyBorder="1"/>
    <xf numFmtId="0" fontId="0" fillId="10" borderId="27" xfId="0" applyFill="1" applyBorder="1"/>
    <xf numFmtId="2" fontId="0" fillId="0" borderId="23" xfId="0" applyNumberFormat="1" applyBorder="1"/>
    <xf numFmtId="0" fontId="0" fillId="0" borderId="6" xfId="0" applyBorder="1"/>
    <xf numFmtId="0" fontId="0" fillId="0" borderId="33" xfId="0" applyBorder="1"/>
    <xf numFmtId="0" fontId="1" fillId="0" borderId="21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/>
    <xf numFmtId="0" fontId="0" fillId="0" borderId="63" xfId="0" applyBorder="1"/>
    <xf numFmtId="0" fontId="0" fillId="0" borderId="22" xfId="0" applyBorder="1" applyAlignment="1">
      <alignment wrapText="1"/>
    </xf>
    <xf numFmtId="0" fontId="0" fillId="5" borderId="44" xfId="0" applyFill="1" applyBorder="1"/>
    <xf numFmtId="0" fontId="0" fillId="7" borderId="55" xfId="0" applyFill="1" applyBorder="1"/>
    <xf numFmtId="2" fontId="0" fillId="10" borderId="55" xfId="0" applyNumberFormat="1" applyFill="1" applyBorder="1"/>
    <xf numFmtId="0" fontId="0" fillId="5" borderId="5" xfId="0" applyFill="1" applyBorder="1"/>
    <xf numFmtId="0" fontId="0" fillId="0" borderId="34" xfId="0" applyFill="1" applyBorder="1"/>
    <xf numFmtId="0" fontId="0" fillId="0" borderId="4" xfId="0" applyFill="1" applyBorder="1"/>
    <xf numFmtId="0" fontId="0" fillId="0" borderId="11" xfId="0" applyFill="1" applyBorder="1"/>
    <xf numFmtId="0" fontId="0" fillId="0" borderId="55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27" xfId="0" applyFill="1" applyBorder="1"/>
    <xf numFmtId="0" fontId="0" fillId="0" borderId="5" xfId="0" applyFill="1" applyBorder="1"/>
    <xf numFmtId="2" fontId="0" fillId="0" borderId="55" xfId="0" applyNumberFormat="1" applyFill="1" applyBorder="1"/>
    <xf numFmtId="0" fontId="0" fillId="0" borderId="18" xfId="0" applyFill="1" applyBorder="1"/>
    <xf numFmtId="0" fontId="0" fillId="0" borderId="38" xfId="0" applyFill="1" applyBorder="1"/>
    <xf numFmtId="0" fontId="0" fillId="0" borderId="19" xfId="0" applyFill="1" applyBorder="1"/>
    <xf numFmtId="0" fontId="0" fillId="0" borderId="39" xfId="0" applyFill="1" applyBorder="1"/>
    <xf numFmtId="0" fontId="0" fillId="0" borderId="40" xfId="0" applyFill="1" applyBorder="1"/>
    <xf numFmtId="0" fontId="0" fillId="0" borderId="17" xfId="0" applyFill="1" applyBorder="1"/>
    <xf numFmtId="0" fontId="0" fillId="0" borderId="57" xfId="0" applyFill="1" applyBorder="1"/>
    <xf numFmtId="0" fontId="0" fillId="0" borderId="26" xfId="0" applyFill="1" applyBorder="1"/>
    <xf numFmtId="0" fontId="0" fillId="0" borderId="49" xfId="0" applyFill="1" applyBorder="1"/>
    <xf numFmtId="2" fontId="0" fillId="0" borderId="57" xfId="0" applyNumberFormat="1" applyFill="1" applyBorder="1"/>
    <xf numFmtId="0" fontId="0" fillId="9" borderId="44" xfId="0" applyFill="1" applyBorder="1"/>
    <xf numFmtId="0" fontId="0" fillId="9" borderId="64" xfId="0" applyFill="1" applyBorder="1"/>
    <xf numFmtId="0" fontId="0" fillId="9" borderId="34" xfId="0" applyFill="1" applyBorder="1"/>
    <xf numFmtId="0" fontId="0" fillId="9" borderId="18" xfId="0" applyFill="1" applyBorder="1"/>
    <xf numFmtId="0" fontId="0" fillId="9" borderId="19" xfId="0" applyFill="1" applyBorder="1"/>
    <xf numFmtId="2" fontId="0" fillId="6" borderId="23" xfId="0" applyNumberFormat="1" applyFill="1" applyBorder="1"/>
    <xf numFmtId="0" fontId="0" fillId="6" borderId="0" xfId="0" applyFill="1"/>
    <xf numFmtId="0" fontId="0" fillId="0" borderId="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2" borderId="41" xfId="0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horizontal="center" vertical="center"/>
    </xf>
    <xf numFmtId="0" fontId="2" fillId="12" borderId="43" xfId="0" applyFont="1" applyFill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47" xfId="0" applyFont="1" applyFill="1" applyBorder="1" applyAlignment="1">
      <alignment horizontal="center" vertical="center"/>
    </xf>
    <xf numFmtId="0" fontId="2" fillId="13" borderId="41" xfId="0" applyFont="1" applyFill="1" applyBorder="1" applyAlignment="1">
      <alignment horizontal="center" vertical="center"/>
    </xf>
    <xf numFmtId="0" fontId="2" fillId="13" borderId="43" xfId="0" applyFont="1" applyFill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47" xfId="0" applyFont="1" applyFill="1" applyBorder="1" applyAlignment="1">
      <alignment horizontal="center" vertical="center"/>
    </xf>
    <xf numFmtId="0" fontId="2" fillId="13" borderId="5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2" fillId="9" borderId="48" xfId="0" applyFont="1" applyFill="1" applyBorder="1" applyAlignment="1">
      <alignment horizontal="center" vertical="center"/>
    </xf>
    <xf numFmtId="0" fontId="2" fillId="9" borderId="50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10" borderId="50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10" borderId="41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12" borderId="50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2" fillId="12" borderId="48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2" fillId="11" borderId="48" xfId="0" applyFont="1" applyFill="1" applyBorder="1" applyAlignment="1">
      <alignment horizontal="center" vertical="center"/>
    </xf>
    <xf numFmtId="0" fontId="2" fillId="11" borderId="41" xfId="0" applyFont="1" applyFill="1" applyBorder="1" applyAlignment="1">
      <alignment horizontal="center" vertical="center"/>
    </xf>
    <xf numFmtId="0" fontId="2" fillId="11" borderId="43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 wrapText="1"/>
    </xf>
    <xf numFmtId="0" fontId="2" fillId="12" borderId="52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rus.ru/projects/park-reka-vremeni-v-lobne/?ysclid=mk1dve0x6f308781859" TargetMode="External"/><Relationship Id="rId18" Type="http://schemas.openxmlformats.org/officeDocument/2006/relationships/hyperlink" Target="https://maloarhangelsk.ru/park-proekt/?ysclid=mk1ec4uqsf182401681" TargetMode="External"/><Relationship Id="rId26" Type="http://schemas.openxmlformats.org/officeDocument/2006/relationships/hyperlink" Target="https://www.afanasy.biz/news/society/162449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s://&#1073;&#1086;&#1083;&#1093;&#1086;&#1074;.&#1086;&#1088;&#1105;&#1083;.&#1088;&#1092;/%D1%81%D0%B0%D0%B4-%D0%B3%D0%BE%D1%80%D0%BE%D0%B4%D0%BE%D0%BA/" TargetMode="External"/><Relationship Id="rId34" Type="http://schemas.openxmlformats.org/officeDocument/2006/relationships/hyperlink" Target="https://dzen.ru/a/ZlgIWgVepXYH8nQz?ysclid=mk1tnaeb21261279275" TargetMode="External"/><Relationship Id="rId7" Type="http://schemas.openxmlformats.org/officeDocument/2006/relationships/hyperlink" Target="https://unit4.io/volokolamsk?ysclid=mk1cra3vfq704365441" TargetMode="External"/><Relationship Id="rId12" Type="http://schemas.openxmlformats.org/officeDocument/2006/relationships/hyperlink" Target="https://mfour.ru/projects/novopark-v-voronezhe/?ysclid=mk1dko5xdf677317407" TargetMode="External"/><Relationship Id="rId17" Type="http://schemas.openxmlformats.org/officeDocument/2006/relationships/hyperlink" Target="https://dzen.ru/a/YwT7sjOnTm3GXHH8?ysclid=mk1e8e1oxb481680258" TargetMode="External"/><Relationship Id="rId25" Type="http://schemas.openxmlformats.org/officeDocument/2006/relationships/hyperlink" Target="https://vk.com/wall-27294627_11954?ysclid=mk1sejeqgf162976832" TargetMode="External"/><Relationship Id="rId33" Type="http://schemas.openxmlformats.org/officeDocument/2006/relationships/hyperlink" Target="https://archi.ru/projects/russia/15383/sozdanie-parka-krymskaya-gorka-v-g-novokhopersk" TargetMode="External"/><Relationship Id="rId38" Type="http://schemas.openxmlformats.org/officeDocument/2006/relationships/hyperlink" Target="https://pavlovsk.riavrn.ru/news/novaya-zhemchuzhina-pod-voronezhem-kak-obustroili-vidovoe-mesto-odnogo-iz-luchshih-monogorodov-rossii/?ysclid=mk1tqria5a926537999" TargetMode="External"/><Relationship Id="rId2" Type="http://schemas.openxmlformats.org/officeDocument/2006/relationships/hyperlink" Target="https://orchestra-design.com/ru/newtorg?ysclid=mk1c0uvxem49790376" TargetMode="External"/><Relationship Id="rId16" Type="http://schemas.openxmlformats.org/officeDocument/2006/relationships/hyperlink" Target="https://prorus.ru/projects/naberezhnaya-reki-klyazma-v-orehovo-zuevo/?ysclid=mk1e5dej5l544091969" TargetMode="External"/><Relationship Id="rId20" Type="http://schemas.openxmlformats.org/officeDocument/2006/relationships/hyperlink" Target="https://vk.com/video-75903574_456286042?ysclid=mk1eev9cqr920820439" TargetMode="External"/><Relationship Id="rId29" Type="http://schemas.openxmlformats.org/officeDocument/2006/relationships/hyperlink" Target="https://rg.ru/2023/04/18/reg-cfo/falsh-v-ispolnenii-proekta.html?ysclid=mk1st11r6k464215550" TargetMode="External"/><Relationship Id="rId1" Type="http://schemas.openxmlformats.org/officeDocument/2006/relationships/hyperlink" Target="https://archi.ru/projects/russia/15285/koncepciya-razvitiya-gorodskogo-centra-g-gavrilov-posad" TargetMode="External"/><Relationship Id="rId6" Type="http://schemas.openxmlformats.org/officeDocument/2006/relationships/hyperlink" Target="https://prorus.ru/projects/naberezhnaya-reki-klyazma-v-noginske/?ysclid=mk1cnynxri937448660" TargetMode="External"/><Relationship Id="rId11" Type="http://schemas.openxmlformats.org/officeDocument/2006/relationships/hyperlink" Target="https://sota-buro.com/alekseevka" TargetMode="External"/><Relationship Id="rId24" Type="http://schemas.openxmlformats.org/officeDocument/2006/relationships/hyperlink" Target="https://nzemlya.tilda.ws/velizh" TargetMode="External"/><Relationship Id="rId32" Type="http://schemas.openxmlformats.org/officeDocument/2006/relationships/hyperlink" Target="https://archi.ru/projects/russia/15545/blagoustroistvo-fatyanovskogo-parka-v-g-vyazniki" TargetMode="External"/><Relationship Id="rId37" Type="http://schemas.openxmlformats.org/officeDocument/2006/relationships/hyperlink" Target="https://prorus.ru/projects/ehkopark-kayalov-bor-v-gorode-rossosh/?ysclid=mk1tp4czih736066730" TargetMode="External"/><Relationship Id="rId5" Type="http://schemas.openxmlformats.org/officeDocument/2006/relationships/hyperlink" Target="https://sota-buro.com/skver_imeni_bunina_i_skver_imeni_solomentsova" TargetMode="External"/><Relationship Id="rId15" Type="http://schemas.openxmlformats.org/officeDocument/2006/relationships/hyperlink" Target="https://www.ab-basis.com/projects/zvenigorod/?ysclid=mk1dxzuif537180275" TargetMode="External"/><Relationship Id="rId23" Type="http://schemas.openxmlformats.org/officeDocument/2006/relationships/hyperlink" Target="https://nzemlya.com/velizh?ysclid=mk1eixsm24888038622" TargetMode="External"/><Relationship Id="rId28" Type="http://schemas.openxmlformats.org/officeDocument/2006/relationships/hyperlink" Target="https://a618.studio/uzelok" TargetMode="External"/><Relationship Id="rId36" Type="http://schemas.openxmlformats.org/officeDocument/2006/relationships/hyperlink" Target="https://archi.ru/russia/100350/plach-zatmenie-i-gorodische" TargetMode="External"/><Relationship Id="rId10" Type="http://schemas.openxmlformats.org/officeDocument/2006/relationships/hyperlink" Target="https://dzen.ru/a/YkwCppGwBlGDIGAD?ysclid=mk1d58wvm3499754704" TargetMode="External"/><Relationship Id="rId19" Type="http://schemas.openxmlformats.org/officeDocument/2006/relationships/hyperlink" Target="https://vk.com/wall-2197800_3553126?ysclid=mk1ee8n190529129372" TargetMode="External"/><Relationship Id="rId31" Type="http://schemas.openxmlformats.org/officeDocument/2006/relationships/hyperlink" Target="https://vk.com/wall-178352367_24?ysclid=mk1t4vhum3126652158" TargetMode="External"/><Relationship Id="rId4" Type="http://schemas.openxmlformats.org/officeDocument/2006/relationships/hyperlink" Target="https://pso-stp.ru/objects/blagoustroystvo-gorodskikh-rodnikov-i-ul-kravchenko-ot-ul-moskovskaya-do-reki-br?ysclid=mk1c8qt28f673398675" TargetMode="External"/><Relationship Id="rId9" Type="http://schemas.openxmlformats.org/officeDocument/2006/relationships/hyperlink" Target="https://prorus.ru/projects/naberezhnaya-reki-osetr-i-blagoustroennye-skvery-v-zarajske/?ysclid=mk1d3pwgjc671458168" TargetMode="External"/><Relationship Id="rId14" Type="http://schemas.openxmlformats.org/officeDocument/2006/relationships/hyperlink" Target="https://prorus.ru/projects/blagoustrojstvo-naberezhnoj-vdol-reki-terebenka-v-chehove/?ysclid=mk1dwbmxhk422172550" TargetMode="External"/><Relationship Id="rId22" Type="http://schemas.openxmlformats.org/officeDocument/2006/relationships/hyperlink" Target="https://vk.com/wall-160847706_107?ysclid=mk1ei251b8600463948" TargetMode="External"/><Relationship Id="rId27" Type="http://schemas.openxmlformats.org/officeDocument/2006/relationships/hyperlink" Target="https://1tulatv.ru/novosti-reportazhi/165343-lipki-restart-kak-zabroshennyy-park-prevrashchayut-v-mesto-prityazheniya/?ysclid=mk1snstkw1663902273" TargetMode="External"/><Relationship Id="rId30" Type="http://schemas.openxmlformats.org/officeDocument/2006/relationships/hyperlink" Target="https://1yar.tv/article/na-levom-beregu-v-tutaeve-nachali-blagoustraivat-naberejnuyu?ysclid=mk1ss8fp4h98148701" TargetMode="External"/><Relationship Id="rId35" Type="http://schemas.openxmlformats.org/officeDocument/2006/relationships/hyperlink" Target="https://vestivrn.ru/news/2024/04/16/obshestvenniki-raskritikovali-obvetshavshii-park-za-54-milliona-v-novokhopyorske/?ysclid=mk1tnj8ams27312154" TargetMode="External"/><Relationship Id="rId8" Type="http://schemas.openxmlformats.org/officeDocument/2006/relationships/hyperlink" Target="https://prorus.ru/projects/blagoustrojstvo-ul-aleksandra-nevskogov-egorevske/?ysclid=mk1cweky85432223587" TargetMode="External"/><Relationship Id="rId3" Type="http://schemas.openxmlformats.org/officeDocument/2006/relationships/hyperlink" Target="https://ai-arch.ru/projects/ploshhad-lenina-v-borovsk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C97E-A3E7-4782-9B1E-BAAEF449C383}">
  <dimension ref="A1:I187"/>
  <sheetViews>
    <sheetView zoomScale="75" zoomScaleNormal="70" workbookViewId="0">
      <selection activeCell="E8" sqref="E8"/>
    </sheetView>
  </sheetViews>
  <sheetFormatPr defaultRowHeight="15" x14ac:dyDescent="0.25"/>
  <cols>
    <col min="1" max="1" width="6.85546875" style="1" customWidth="1"/>
    <col min="2" max="2" width="9.140625" style="1"/>
    <col min="3" max="3" width="15.7109375" style="1" customWidth="1"/>
    <col min="4" max="4" width="17.140625" style="1" customWidth="1"/>
    <col min="5" max="5" width="42.85546875" style="1" customWidth="1"/>
    <col min="6" max="6" width="14.28515625" style="1" customWidth="1"/>
    <col min="7" max="7" width="12.85546875" style="2" customWidth="1"/>
    <col min="8" max="8" width="12.7109375" style="2" customWidth="1"/>
    <col min="9" max="9" width="20.5703125" style="1" customWidth="1"/>
  </cols>
  <sheetData>
    <row r="1" spans="1:9" ht="45" x14ac:dyDescent="0.25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 t="s">
        <v>31</v>
      </c>
      <c r="H1" s="3" t="s">
        <v>32</v>
      </c>
      <c r="I1" s="3" t="s">
        <v>5</v>
      </c>
    </row>
    <row r="2" spans="1:9" ht="30" x14ac:dyDescent="0.25">
      <c r="A2" s="1">
        <v>1</v>
      </c>
      <c r="B2" s="1">
        <v>2020</v>
      </c>
      <c r="C2" s="1" t="s">
        <v>6</v>
      </c>
      <c r="D2" s="1" t="s">
        <v>12</v>
      </c>
      <c r="E2" s="1" t="s">
        <v>7</v>
      </c>
      <c r="F2" s="1" t="s">
        <v>8</v>
      </c>
      <c r="G2" s="2">
        <v>80</v>
      </c>
    </row>
    <row r="3" spans="1:9" ht="45" x14ac:dyDescent="0.25">
      <c r="A3" s="1">
        <v>2</v>
      </c>
      <c r="B3" s="1">
        <v>2020</v>
      </c>
      <c r="C3" s="2" t="s">
        <v>9</v>
      </c>
      <c r="D3" s="1" t="s">
        <v>11</v>
      </c>
      <c r="E3" s="1" t="s">
        <v>15</v>
      </c>
      <c r="G3" s="2">
        <v>50</v>
      </c>
    </row>
    <row r="4" spans="1:9" ht="30" x14ac:dyDescent="0.25">
      <c r="A4" s="1">
        <v>3</v>
      </c>
      <c r="B4" s="1">
        <v>2020</v>
      </c>
      <c r="C4" s="2" t="s">
        <v>16</v>
      </c>
      <c r="D4" s="1" t="s">
        <v>11</v>
      </c>
      <c r="E4" s="2" t="s">
        <v>17</v>
      </c>
      <c r="G4" s="2">
        <v>70</v>
      </c>
    </row>
    <row r="5" spans="1:9" ht="45" x14ac:dyDescent="0.25">
      <c r="A5" s="1">
        <v>4</v>
      </c>
      <c r="B5" s="1">
        <v>2020</v>
      </c>
      <c r="C5" s="1" t="s">
        <v>13</v>
      </c>
      <c r="D5" s="1" t="s">
        <v>14</v>
      </c>
      <c r="E5" s="1" t="s">
        <v>18</v>
      </c>
      <c r="G5" s="2">
        <v>70</v>
      </c>
    </row>
    <row r="6" spans="1:9" ht="45" x14ac:dyDescent="0.25">
      <c r="A6" s="1">
        <v>5</v>
      </c>
      <c r="B6" s="1">
        <v>2020</v>
      </c>
      <c r="C6" s="2" t="s">
        <v>19</v>
      </c>
      <c r="D6" s="1" t="s">
        <v>20</v>
      </c>
      <c r="E6" s="1" t="s">
        <v>21</v>
      </c>
      <c r="G6" s="2">
        <v>50</v>
      </c>
    </row>
    <row r="7" spans="1:9" ht="30" x14ac:dyDescent="0.25">
      <c r="A7" s="1">
        <v>6</v>
      </c>
      <c r="B7" s="1">
        <v>2020</v>
      </c>
      <c r="C7" s="1" t="s">
        <v>22</v>
      </c>
      <c r="D7" s="1" t="s">
        <v>20</v>
      </c>
      <c r="E7" s="1" t="s">
        <v>23</v>
      </c>
      <c r="G7" s="2">
        <v>70</v>
      </c>
    </row>
    <row r="8" spans="1:9" ht="30" x14ac:dyDescent="0.25">
      <c r="A8" s="1">
        <v>7</v>
      </c>
      <c r="B8" s="1">
        <v>2020</v>
      </c>
      <c r="C8" s="2" t="s">
        <v>24</v>
      </c>
      <c r="D8" s="1" t="s">
        <v>20</v>
      </c>
      <c r="E8" s="2" t="s">
        <v>25</v>
      </c>
      <c r="G8" s="2">
        <v>50</v>
      </c>
    </row>
    <row r="9" spans="1:9" ht="30" x14ac:dyDescent="0.25">
      <c r="A9" s="1">
        <v>8</v>
      </c>
      <c r="B9" s="1">
        <v>2020</v>
      </c>
      <c r="C9" s="1" t="s">
        <v>26</v>
      </c>
      <c r="D9" s="1" t="s">
        <v>20</v>
      </c>
      <c r="E9" s="1" t="s">
        <v>27</v>
      </c>
      <c r="G9" s="2">
        <v>50</v>
      </c>
    </row>
    <row r="10" spans="1:9" ht="30" x14ac:dyDescent="0.25">
      <c r="A10" s="1">
        <v>9</v>
      </c>
      <c r="B10" s="1">
        <v>2020</v>
      </c>
      <c r="C10" s="2" t="s">
        <v>28</v>
      </c>
      <c r="D10" s="1" t="s">
        <v>29</v>
      </c>
      <c r="E10" s="1" t="s">
        <v>30</v>
      </c>
      <c r="F10" s="1" t="s">
        <v>8</v>
      </c>
      <c r="G10" s="2">
        <v>50</v>
      </c>
      <c r="H10" s="2">
        <v>60.61</v>
      </c>
    </row>
    <row r="11" spans="1:9" ht="75" x14ac:dyDescent="0.25">
      <c r="A11" s="1">
        <v>10</v>
      </c>
      <c r="B11" s="1">
        <v>2020</v>
      </c>
      <c r="C11" s="2" t="s">
        <v>33</v>
      </c>
      <c r="D11" s="1" t="s">
        <v>29</v>
      </c>
      <c r="E11" s="1" t="s">
        <v>34</v>
      </c>
      <c r="F11" s="1" t="s">
        <v>8</v>
      </c>
      <c r="G11" s="2">
        <v>50</v>
      </c>
      <c r="H11" s="2">
        <v>60.01</v>
      </c>
    </row>
    <row r="12" spans="1:9" ht="45" x14ac:dyDescent="0.25">
      <c r="A12" s="1">
        <v>11</v>
      </c>
      <c r="B12" s="1">
        <v>2020</v>
      </c>
      <c r="C12" s="1" t="s">
        <v>35</v>
      </c>
      <c r="D12" s="1" t="s">
        <v>29</v>
      </c>
      <c r="E12" s="1" t="s">
        <v>36</v>
      </c>
      <c r="F12" s="1" t="s">
        <v>8</v>
      </c>
      <c r="G12" s="2">
        <v>50</v>
      </c>
      <c r="H12" s="2">
        <v>67.94</v>
      </c>
    </row>
    <row r="13" spans="1:9" ht="30" x14ac:dyDescent="0.25">
      <c r="A13" s="1">
        <v>12</v>
      </c>
      <c r="B13" s="1">
        <v>2020</v>
      </c>
      <c r="C13" s="1" t="s">
        <v>37</v>
      </c>
      <c r="D13" s="1" t="s">
        <v>38</v>
      </c>
      <c r="E13" s="1" t="s">
        <v>39</v>
      </c>
      <c r="F13" s="1" t="s">
        <v>8</v>
      </c>
      <c r="G13" s="2">
        <v>70</v>
      </c>
      <c r="H13" s="2">
        <v>83.92</v>
      </c>
    </row>
    <row r="14" spans="1:9" ht="30" x14ac:dyDescent="0.25">
      <c r="A14" s="1">
        <v>13</v>
      </c>
      <c r="B14" s="1">
        <v>2020</v>
      </c>
      <c r="C14" s="2" t="s">
        <v>40</v>
      </c>
      <c r="D14" s="1" t="s">
        <v>38</v>
      </c>
      <c r="E14" s="1" t="s">
        <v>41</v>
      </c>
      <c r="F14" s="1" t="s">
        <v>8</v>
      </c>
      <c r="G14" s="2">
        <v>80</v>
      </c>
    </row>
    <row r="15" spans="1:9" ht="45" x14ac:dyDescent="0.25">
      <c r="A15" s="1">
        <v>14</v>
      </c>
      <c r="B15" s="1">
        <v>2020</v>
      </c>
      <c r="C15" s="2" t="s">
        <v>42</v>
      </c>
      <c r="D15" s="1" t="s">
        <v>38</v>
      </c>
      <c r="E15" s="1" t="s">
        <v>43</v>
      </c>
      <c r="F15" s="1" t="s">
        <v>8</v>
      </c>
      <c r="G15" s="2">
        <v>50</v>
      </c>
    </row>
    <row r="16" spans="1:9" ht="60" x14ac:dyDescent="0.25">
      <c r="A16" s="1">
        <v>15</v>
      </c>
      <c r="B16" s="1">
        <v>2020</v>
      </c>
      <c r="C16" s="2" t="s">
        <v>44</v>
      </c>
      <c r="D16" s="1" t="s">
        <v>38</v>
      </c>
      <c r="E16" s="1" t="s">
        <v>45</v>
      </c>
      <c r="F16" s="1" t="s">
        <v>8</v>
      </c>
      <c r="G16" s="2">
        <v>70</v>
      </c>
    </row>
    <row r="17" spans="1:8" ht="45" x14ac:dyDescent="0.25">
      <c r="A17" s="1">
        <v>16</v>
      </c>
      <c r="B17" s="1">
        <v>2020</v>
      </c>
      <c r="C17" s="2" t="s">
        <v>46</v>
      </c>
      <c r="D17" s="1" t="s">
        <v>48</v>
      </c>
      <c r="E17" s="1" t="s">
        <v>47</v>
      </c>
      <c r="G17" s="2">
        <v>80</v>
      </c>
    </row>
    <row r="18" spans="1:8" ht="45" x14ac:dyDescent="0.25">
      <c r="A18" s="1">
        <v>17</v>
      </c>
      <c r="B18" s="1">
        <v>2020</v>
      </c>
      <c r="C18" s="1" t="s">
        <v>49</v>
      </c>
      <c r="D18" s="1" t="s">
        <v>51</v>
      </c>
      <c r="E18" s="1" t="s">
        <v>50</v>
      </c>
      <c r="G18" s="2">
        <v>70</v>
      </c>
    </row>
    <row r="19" spans="1:8" ht="45" x14ac:dyDescent="0.25">
      <c r="A19" s="1">
        <v>18</v>
      </c>
      <c r="B19" s="1">
        <v>2020</v>
      </c>
      <c r="C19" s="1" t="s">
        <v>52</v>
      </c>
      <c r="D19" s="1" t="s">
        <v>51</v>
      </c>
      <c r="E19" s="1" t="s">
        <v>53</v>
      </c>
      <c r="G19" s="2">
        <v>80</v>
      </c>
    </row>
    <row r="20" spans="1:8" ht="45" x14ac:dyDescent="0.25">
      <c r="A20" s="1">
        <v>19</v>
      </c>
      <c r="B20" s="1">
        <v>2020</v>
      </c>
      <c r="C20" s="1" t="s">
        <v>54</v>
      </c>
      <c r="D20" s="1" t="s">
        <v>51</v>
      </c>
      <c r="E20" s="1" t="s">
        <v>55</v>
      </c>
      <c r="G20" s="2">
        <v>50</v>
      </c>
    </row>
    <row r="21" spans="1:8" ht="30" x14ac:dyDescent="0.25">
      <c r="A21" s="1">
        <v>20</v>
      </c>
      <c r="B21" s="1">
        <v>2020</v>
      </c>
      <c r="C21" s="2" t="s">
        <v>56</v>
      </c>
      <c r="D21" s="1" t="s">
        <v>57</v>
      </c>
      <c r="E21" s="1" t="s">
        <v>58</v>
      </c>
      <c r="F21" s="1" t="s">
        <v>8</v>
      </c>
      <c r="G21" s="2">
        <v>50</v>
      </c>
      <c r="H21" s="2">
        <v>50</v>
      </c>
    </row>
    <row r="22" spans="1:8" ht="30" x14ac:dyDescent="0.25">
      <c r="A22" s="1">
        <v>21</v>
      </c>
      <c r="B22" s="1">
        <v>2020</v>
      </c>
      <c r="C22" s="2" t="s">
        <v>59</v>
      </c>
      <c r="D22" s="1" t="s">
        <v>57</v>
      </c>
      <c r="E22" s="4" t="s">
        <v>60</v>
      </c>
      <c r="F22" s="1" t="s">
        <v>8</v>
      </c>
      <c r="G22" s="2">
        <v>70</v>
      </c>
      <c r="H22" s="2">
        <v>70</v>
      </c>
    </row>
    <row r="23" spans="1:8" ht="30" x14ac:dyDescent="0.25">
      <c r="A23" s="1">
        <v>22</v>
      </c>
      <c r="B23" s="1">
        <v>2020</v>
      </c>
      <c r="C23" s="2" t="s">
        <v>61</v>
      </c>
      <c r="D23" s="1" t="s">
        <v>57</v>
      </c>
      <c r="E23" s="5" t="s">
        <v>62</v>
      </c>
      <c r="F23" s="1" t="s">
        <v>8</v>
      </c>
      <c r="G23" s="2">
        <v>50</v>
      </c>
      <c r="H23" s="2">
        <v>50</v>
      </c>
    </row>
    <row r="24" spans="1:8" ht="60" x14ac:dyDescent="0.25">
      <c r="A24" s="1">
        <v>23</v>
      </c>
      <c r="B24" s="1">
        <v>2020</v>
      </c>
      <c r="C24" s="2" t="s">
        <v>63</v>
      </c>
      <c r="D24" s="1" t="s">
        <v>64</v>
      </c>
      <c r="E24" s="1" t="s">
        <v>65</v>
      </c>
      <c r="F24" s="1" t="s">
        <v>8</v>
      </c>
      <c r="G24" s="2">
        <v>50</v>
      </c>
    </row>
    <row r="25" spans="1:8" ht="45" x14ac:dyDescent="0.25">
      <c r="A25" s="1">
        <v>24</v>
      </c>
      <c r="B25" s="1">
        <v>2020</v>
      </c>
      <c r="C25" s="1" t="s">
        <v>66</v>
      </c>
      <c r="D25" s="1" t="s">
        <v>64</v>
      </c>
      <c r="E25" s="1" t="s">
        <v>67</v>
      </c>
      <c r="F25" s="1" t="s">
        <v>8</v>
      </c>
      <c r="G25" s="2">
        <v>70</v>
      </c>
    </row>
    <row r="26" spans="1:8" ht="90" x14ac:dyDescent="0.25">
      <c r="A26" s="1">
        <v>25</v>
      </c>
      <c r="B26" s="1">
        <v>2020</v>
      </c>
      <c r="C26" s="1" t="s">
        <v>68</v>
      </c>
      <c r="D26" s="1" t="s">
        <v>64</v>
      </c>
      <c r="E26" s="1" t="s">
        <v>69</v>
      </c>
      <c r="F26" s="1" t="s">
        <v>8</v>
      </c>
      <c r="G26" s="2">
        <v>80</v>
      </c>
    </row>
    <row r="27" spans="1:8" ht="60" x14ac:dyDescent="0.25">
      <c r="A27" s="1">
        <v>26</v>
      </c>
      <c r="B27" s="1">
        <v>2020</v>
      </c>
      <c r="C27" t="s">
        <v>70</v>
      </c>
      <c r="D27" s="1" t="s">
        <v>64</v>
      </c>
      <c r="E27" s="1" t="s">
        <v>71</v>
      </c>
      <c r="G27" s="2">
        <v>50</v>
      </c>
    </row>
    <row r="28" spans="1:8" ht="30" x14ac:dyDescent="0.25">
      <c r="A28" s="1">
        <v>27</v>
      </c>
      <c r="B28" s="1">
        <v>2020</v>
      </c>
      <c r="C28" s="1" t="s">
        <v>72</v>
      </c>
      <c r="D28" s="1" t="s">
        <v>64</v>
      </c>
      <c r="E28" t="s">
        <v>73</v>
      </c>
      <c r="F28" s="1" t="s">
        <v>8</v>
      </c>
      <c r="G28" s="2">
        <v>70</v>
      </c>
    </row>
    <row r="29" spans="1:8" ht="45" x14ac:dyDescent="0.25">
      <c r="A29" s="1">
        <v>28</v>
      </c>
      <c r="B29" s="1">
        <v>2020</v>
      </c>
      <c r="C29" s="2" t="s">
        <v>74</v>
      </c>
      <c r="D29" s="1" t="s">
        <v>75</v>
      </c>
      <c r="E29" t="s">
        <v>76</v>
      </c>
      <c r="F29" s="1" t="s">
        <v>8</v>
      </c>
      <c r="G29" s="2">
        <v>50</v>
      </c>
      <c r="H29" s="2">
        <v>72</v>
      </c>
    </row>
    <row r="30" spans="1:8" ht="30" x14ac:dyDescent="0.25">
      <c r="A30" s="1">
        <v>29</v>
      </c>
      <c r="B30" s="1">
        <v>2020</v>
      </c>
      <c r="C30" s="2" t="s">
        <v>77</v>
      </c>
      <c r="D30" s="1" t="s">
        <v>78</v>
      </c>
      <c r="E30" s="1" t="s">
        <v>79</v>
      </c>
      <c r="F30" s="1" t="s">
        <v>8</v>
      </c>
      <c r="G30" s="2">
        <v>70</v>
      </c>
    </row>
    <row r="31" spans="1:8" ht="30" x14ac:dyDescent="0.25">
      <c r="A31" s="1">
        <v>30</v>
      </c>
      <c r="B31" s="1">
        <v>2020</v>
      </c>
      <c r="C31" s="2" t="s">
        <v>80</v>
      </c>
      <c r="D31" s="1" t="s">
        <v>78</v>
      </c>
      <c r="E31" s="1" t="s">
        <v>81</v>
      </c>
      <c r="F31" s="1" t="s">
        <v>8</v>
      </c>
      <c r="G31" s="2">
        <v>50</v>
      </c>
    </row>
    <row r="32" spans="1:8" ht="90" x14ac:dyDescent="0.25">
      <c r="A32" s="1">
        <v>31</v>
      </c>
      <c r="B32" s="1">
        <v>2020</v>
      </c>
      <c r="C32" s="1" t="s">
        <v>82</v>
      </c>
      <c r="D32" s="1" t="s">
        <v>83</v>
      </c>
      <c r="E32" s="1" t="s">
        <v>84</v>
      </c>
      <c r="F32" s="1" t="s">
        <v>8</v>
      </c>
      <c r="G32" s="2">
        <v>50</v>
      </c>
      <c r="H32" s="2">
        <v>54.33</v>
      </c>
    </row>
    <row r="33" spans="1:8" ht="30" x14ac:dyDescent="0.25">
      <c r="A33" s="1">
        <v>32</v>
      </c>
      <c r="B33" s="1">
        <v>2020</v>
      </c>
      <c r="C33" t="s">
        <v>85</v>
      </c>
      <c r="D33" s="1" t="s">
        <v>83</v>
      </c>
      <c r="E33" s="1" t="s">
        <v>86</v>
      </c>
      <c r="F33" s="1" t="s">
        <v>8</v>
      </c>
      <c r="G33" s="2">
        <v>50</v>
      </c>
      <c r="H33" s="2">
        <v>61.04</v>
      </c>
    </row>
    <row r="34" spans="1:8" ht="30" x14ac:dyDescent="0.25">
      <c r="A34" s="1">
        <v>33</v>
      </c>
      <c r="B34" s="1">
        <v>2020</v>
      </c>
      <c r="C34" s="2" t="s">
        <v>87</v>
      </c>
      <c r="D34" s="1" t="s">
        <v>88</v>
      </c>
      <c r="E34" s="1" t="s">
        <v>89</v>
      </c>
      <c r="F34" s="1" t="s">
        <v>8</v>
      </c>
      <c r="G34" s="2">
        <v>70</v>
      </c>
    </row>
    <row r="35" spans="1:8" ht="30" x14ac:dyDescent="0.25">
      <c r="A35" s="1">
        <v>34</v>
      </c>
      <c r="B35" s="1">
        <v>2020</v>
      </c>
      <c r="C35" s="1" t="s">
        <v>87</v>
      </c>
      <c r="D35" s="1" t="s">
        <v>90</v>
      </c>
      <c r="E35" s="1" t="s">
        <v>91</v>
      </c>
      <c r="F35" s="1" t="s">
        <v>8</v>
      </c>
      <c r="G35" s="2">
        <v>70</v>
      </c>
    </row>
    <row r="36" spans="1:8" ht="30" x14ac:dyDescent="0.25">
      <c r="A36" s="1">
        <v>35</v>
      </c>
      <c r="B36" s="1">
        <v>2020</v>
      </c>
      <c r="C36" s="1" t="s">
        <v>92</v>
      </c>
      <c r="D36" s="1" t="s">
        <v>93</v>
      </c>
      <c r="E36" s="1" t="s">
        <v>94</v>
      </c>
      <c r="F36" s="1" t="s">
        <v>8</v>
      </c>
      <c r="G36" s="2">
        <v>80</v>
      </c>
    </row>
    <row r="37" spans="1:8" ht="30" x14ac:dyDescent="0.25">
      <c r="A37" s="1">
        <v>36</v>
      </c>
      <c r="B37" s="1">
        <v>2020</v>
      </c>
      <c r="C37" t="s">
        <v>95</v>
      </c>
      <c r="D37" s="1" t="s">
        <v>96</v>
      </c>
      <c r="E37" s="1" t="s">
        <v>97</v>
      </c>
      <c r="F37" s="1" t="s">
        <v>8</v>
      </c>
      <c r="G37" s="2">
        <v>50</v>
      </c>
      <c r="H37" s="2">
        <v>81.11</v>
      </c>
    </row>
    <row r="38" spans="1:8" ht="45" x14ac:dyDescent="0.25">
      <c r="A38" s="1">
        <v>37</v>
      </c>
      <c r="B38" s="1">
        <v>2020</v>
      </c>
      <c r="C38" s="1" t="s">
        <v>98</v>
      </c>
      <c r="D38" s="1" t="s">
        <v>99</v>
      </c>
      <c r="E38" s="1" t="s">
        <v>100</v>
      </c>
      <c r="F38" s="1" t="s">
        <v>8</v>
      </c>
      <c r="G38" s="2">
        <v>50</v>
      </c>
    </row>
    <row r="39" spans="1:8" ht="45" x14ac:dyDescent="0.25">
      <c r="A39" s="1">
        <v>38</v>
      </c>
      <c r="B39" s="1">
        <v>2020</v>
      </c>
      <c r="C39" s="1" t="s">
        <v>101</v>
      </c>
      <c r="D39" s="1" t="s">
        <v>99</v>
      </c>
      <c r="E39" s="1" t="s">
        <v>102</v>
      </c>
      <c r="F39" s="1" t="s">
        <v>8</v>
      </c>
      <c r="G39" s="2">
        <v>80</v>
      </c>
    </row>
    <row r="40" spans="1:8" ht="30" x14ac:dyDescent="0.25">
      <c r="A40" s="1">
        <v>39</v>
      </c>
      <c r="B40" s="1">
        <v>2020</v>
      </c>
      <c r="C40" s="1" t="s">
        <v>103</v>
      </c>
      <c r="D40" s="1" t="s">
        <v>99</v>
      </c>
      <c r="E40" s="1" t="s">
        <v>104</v>
      </c>
      <c r="F40" s="1" t="s">
        <v>8</v>
      </c>
      <c r="G40" s="2">
        <v>80</v>
      </c>
      <c r="H40" s="2">
        <v>87.58</v>
      </c>
    </row>
    <row r="41" spans="1:8" ht="30" x14ac:dyDescent="0.25">
      <c r="A41" s="1">
        <v>40</v>
      </c>
      <c r="B41" s="1">
        <v>2020</v>
      </c>
      <c r="C41" t="s">
        <v>105</v>
      </c>
      <c r="D41" s="1" t="s">
        <v>99</v>
      </c>
      <c r="E41" t="s">
        <v>106</v>
      </c>
      <c r="F41" s="1" t="s">
        <v>8</v>
      </c>
      <c r="G41" s="2">
        <v>70</v>
      </c>
    </row>
    <row r="42" spans="1:8" ht="30" x14ac:dyDescent="0.25">
      <c r="A42" s="1">
        <v>41</v>
      </c>
      <c r="B42" s="1">
        <v>2020</v>
      </c>
      <c r="C42" s="1" t="s">
        <v>107</v>
      </c>
      <c r="D42" s="1" t="s">
        <v>108</v>
      </c>
      <c r="E42" s="1" t="s">
        <v>109</v>
      </c>
      <c r="F42" s="1" t="s">
        <v>8</v>
      </c>
      <c r="G42" s="2">
        <v>50</v>
      </c>
      <c r="H42" s="2">
        <v>50.66</v>
      </c>
    </row>
    <row r="43" spans="1:8" ht="30" x14ac:dyDescent="0.25">
      <c r="A43" s="1">
        <v>42</v>
      </c>
      <c r="B43" s="1">
        <v>2020</v>
      </c>
      <c r="C43" s="1" t="s">
        <v>110</v>
      </c>
      <c r="D43" s="1" t="s">
        <v>108</v>
      </c>
      <c r="E43" s="1" t="s">
        <v>111</v>
      </c>
      <c r="F43" s="1" t="s">
        <v>8</v>
      </c>
      <c r="G43" s="2">
        <v>50</v>
      </c>
      <c r="H43" s="2">
        <v>58.44</v>
      </c>
    </row>
    <row r="44" spans="1:8" ht="45" x14ac:dyDescent="0.25">
      <c r="A44" s="1">
        <v>43</v>
      </c>
      <c r="B44" s="1">
        <v>2020</v>
      </c>
      <c r="C44" s="1" t="s">
        <v>112</v>
      </c>
      <c r="E44" s="1" t="s">
        <v>113</v>
      </c>
      <c r="F44" s="1" t="s">
        <v>8</v>
      </c>
      <c r="G44" s="2">
        <v>80</v>
      </c>
      <c r="H44" s="2">
        <v>99.08</v>
      </c>
    </row>
    <row r="45" spans="1:8" ht="75" x14ac:dyDescent="0.25">
      <c r="A45" s="1">
        <v>44</v>
      </c>
      <c r="B45" s="1">
        <v>2020</v>
      </c>
      <c r="C45" s="1" t="s">
        <v>114</v>
      </c>
      <c r="D45" s="1" t="s">
        <v>115</v>
      </c>
      <c r="E45" s="1" t="s">
        <v>116</v>
      </c>
      <c r="F45" s="1" t="s">
        <v>8</v>
      </c>
      <c r="G45" s="2">
        <v>50</v>
      </c>
      <c r="H45" s="2">
        <v>50.84</v>
      </c>
    </row>
    <row r="46" spans="1:8" ht="30" x14ac:dyDescent="0.25">
      <c r="A46" s="1">
        <v>45</v>
      </c>
      <c r="B46" s="1">
        <v>2020</v>
      </c>
      <c r="C46" s="2" t="s">
        <v>117</v>
      </c>
      <c r="D46" s="1" t="s">
        <v>120</v>
      </c>
      <c r="E46" s="1" t="s">
        <v>118</v>
      </c>
      <c r="F46" s="1" t="s">
        <v>8</v>
      </c>
      <c r="G46" s="2">
        <v>80</v>
      </c>
      <c r="H46" s="2">
        <v>100</v>
      </c>
    </row>
    <row r="47" spans="1:8" ht="30" x14ac:dyDescent="0.25">
      <c r="A47" s="1">
        <v>46</v>
      </c>
      <c r="B47" s="1">
        <v>2020</v>
      </c>
      <c r="C47" t="s">
        <v>119</v>
      </c>
      <c r="D47" s="1" t="s">
        <v>120</v>
      </c>
      <c r="E47" s="1" t="s">
        <v>121</v>
      </c>
      <c r="F47" s="1" t="s">
        <v>8</v>
      </c>
      <c r="G47" s="2">
        <v>70</v>
      </c>
      <c r="H47" s="2">
        <v>95</v>
      </c>
    </row>
    <row r="48" spans="1:8" ht="45" x14ac:dyDescent="0.25">
      <c r="A48" s="1">
        <v>47</v>
      </c>
      <c r="B48" s="1">
        <v>2020</v>
      </c>
      <c r="C48" s="1" t="s">
        <v>122</v>
      </c>
      <c r="D48" s="1" t="s">
        <v>120</v>
      </c>
      <c r="E48" s="1" t="s">
        <v>127</v>
      </c>
      <c r="F48" s="1" t="s">
        <v>8</v>
      </c>
      <c r="G48" s="2">
        <v>50</v>
      </c>
      <c r="H48" s="2">
        <v>61.6</v>
      </c>
    </row>
    <row r="49" spans="1:8" ht="60" x14ac:dyDescent="0.25">
      <c r="A49" s="1">
        <v>48</v>
      </c>
      <c r="B49" s="1">
        <v>2020</v>
      </c>
      <c r="C49" s="1" t="s">
        <v>123</v>
      </c>
      <c r="D49" s="1" t="s">
        <v>120</v>
      </c>
      <c r="E49" s="1" t="s">
        <v>124</v>
      </c>
      <c r="F49" s="1" t="s">
        <v>8</v>
      </c>
      <c r="G49" s="2">
        <v>50</v>
      </c>
      <c r="H49" s="2">
        <v>59.6</v>
      </c>
    </row>
    <row r="50" spans="1:8" ht="45" x14ac:dyDescent="0.25">
      <c r="A50" s="1">
        <v>49</v>
      </c>
      <c r="B50" s="1">
        <v>2020</v>
      </c>
      <c r="C50" s="1" t="s">
        <v>125</v>
      </c>
      <c r="D50" s="1" t="s">
        <v>126</v>
      </c>
      <c r="E50" s="1" t="s">
        <v>128</v>
      </c>
      <c r="G50" s="2">
        <v>50</v>
      </c>
    </row>
    <row r="51" spans="1:8" ht="45" x14ac:dyDescent="0.25">
      <c r="A51" s="1">
        <v>50</v>
      </c>
      <c r="B51" s="1">
        <v>2020</v>
      </c>
      <c r="C51" s="1" t="s">
        <v>129</v>
      </c>
      <c r="D51" s="1" t="s">
        <v>126</v>
      </c>
      <c r="E51" s="1" t="s">
        <v>130</v>
      </c>
      <c r="G51" s="2">
        <v>80</v>
      </c>
    </row>
    <row r="52" spans="1:8" ht="30" x14ac:dyDescent="0.25">
      <c r="A52" s="1">
        <v>51</v>
      </c>
      <c r="B52" s="1">
        <v>2020</v>
      </c>
      <c r="C52" s="1" t="s">
        <v>131</v>
      </c>
      <c r="D52" s="1" t="s">
        <v>126</v>
      </c>
      <c r="E52" s="1" t="s">
        <v>132</v>
      </c>
      <c r="F52" s="1" t="s">
        <v>8</v>
      </c>
      <c r="G52" s="2">
        <v>50</v>
      </c>
      <c r="H52" s="2">
        <v>83.72</v>
      </c>
    </row>
    <row r="53" spans="1:8" ht="30" x14ac:dyDescent="0.25">
      <c r="A53" s="1">
        <v>52</v>
      </c>
      <c r="B53" s="1">
        <v>2020</v>
      </c>
      <c r="C53" s="1" t="s">
        <v>133</v>
      </c>
      <c r="D53" s="1" t="s">
        <v>126</v>
      </c>
      <c r="E53" s="1" t="s">
        <v>134</v>
      </c>
      <c r="F53" s="1" t="s">
        <v>8</v>
      </c>
      <c r="G53" s="2">
        <v>70</v>
      </c>
      <c r="H53" s="2">
        <v>101.53</v>
      </c>
    </row>
    <row r="54" spans="1:8" ht="30" x14ac:dyDescent="0.25">
      <c r="A54" s="1">
        <v>53</v>
      </c>
      <c r="B54" s="1">
        <v>2020</v>
      </c>
      <c r="C54" s="1" t="s">
        <v>135</v>
      </c>
      <c r="D54" s="1" t="s">
        <v>126</v>
      </c>
      <c r="E54" s="1" t="s">
        <v>136</v>
      </c>
      <c r="F54" s="1" t="s">
        <v>8</v>
      </c>
      <c r="G54" s="2">
        <v>50</v>
      </c>
      <c r="H54" s="2">
        <v>78</v>
      </c>
    </row>
    <row r="55" spans="1:8" ht="30" x14ac:dyDescent="0.25">
      <c r="A55" s="1">
        <v>54</v>
      </c>
      <c r="B55" s="1">
        <v>2020</v>
      </c>
      <c r="C55" s="1" t="s">
        <v>137</v>
      </c>
      <c r="D55" s="1" t="s">
        <v>138</v>
      </c>
      <c r="E55" s="1" t="s">
        <v>139</v>
      </c>
      <c r="F55" s="1" t="s">
        <v>8</v>
      </c>
      <c r="G55" s="2">
        <v>50</v>
      </c>
      <c r="H55" s="2">
        <v>80.55</v>
      </c>
    </row>
    <row r="56" spans="1:8" ht="30" x14ac:dyDescent="0.25">
      <c r="A56" s="1">
        <v>55</v>
      </c>
      <c r="B56" s="1">
        <v>2020</v>
      </c>
      <c r="C56" s="1" t="s">
        <v>140</v>
      </c>
      <c r="D56" s="1" t="s">
        <v>138</v>
      </c>
      <c r="E56" s="1" t="s">
        <v>141</v>
      </c>
      <c r="F56" s="1" t="s">
        <v>8</v>
      </c>
      <c r="G56" s="2">
        <v>70</v>
      </c>
      <c r="H56" s="2">
        <v>101.94</v>
      </c>
    </row>
    <row r="57" spans="1:8" ht="45" x14ac:dyDescent="0.25">
      <c r="A57" s="1">
        <v>56</v>
      </c>
      <c r="B57" s="1">
        <v>2020</v>
      </c>
      <c r="C57" s="1" t="s">
        <v>142</v>
      </c>
      <c r="D57" s="1" t="s">
        <v>138</v>
      </c>
      <c r="E57" s="1" t="s">
        <v>143</v>
      </c>
      <c r="F57" s="1" t="s">
        <v>8</v>
      </c>
      <c r="G57" s="2">
        <v>50</v>
      </c>
      <c r="H57" s="2">
        <v>76.5</v>
      </c>
    </row>
    <row r="58" spans="1:8" ht="45" x14ac:dyDescent="0.25">
      <c r="A58" s="1">
        <v>57</v>
      </c>
      <c r="B58" s="1">
        <v>2020</v>
      </c>
      <c r="C58" s="1" t="s">
        <v>144</v>
      </c>
      <c r="D58" s="1" t="s">
        <v>145</v>
      </c>
      <c r="E58" s="1" t="s">
        <v>146</v>
      </c>
      <c r="G58" s="2">
        <v>80</v>
      </c>
    </row>
    <row r="59" spans="1:8" x14ac:dyDescent="0.25">
      <c r="A59" s="1">
        <v>58</v>
      </c>
    </row>
    <row r="60" spans="1:8" x14ac:dyDescent="0.25">
      <c r="A60" s="1">
        <v>59</v>
      </c>
    </row>
    <row r="61" spans="1:8" x14ac:dyDescent="0.25">
      <c r="A61" s="1">
        <v>60</v>
      </c>
    </row>
    <row r="62" spans="1:8" x14ac:dyDescent="0.25">
      <c r="A62" s="1">
        <v>61</v>
      </c>
    </row>
    <row r="63" spans="1:8" x14ac:dyDescent="0.25">
      <c r="A63" s="1">
        <v>62</v>
      </c>
    </row>
    <row r="64" spans="1:8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  <row r="72" spans="1:1" x14ac:dyDescent="0.25">
      <c r="A72" s="1">
        <v>71</v>
      </c>
    </row>
    <row r="73" spans="1:1" x14ac:dyDescent="0.25">
      <c r="A73" s="1">
        <v>72</v>
      </c>
    </row>
    <row r="74" spans="1:1" x14ac:dyDescent="0.25">
      <c r="A74" s="1">
        <v>73</v>
      </c>
    </row>
    <row r="75" spans="1:1" x14ac:dyDescent="0.25">
      <c r="A75" s="1">
        <v>74</v>
      </c>
    </row>
    <row r="76" spans="1:1" x14ac:dyDescent="0.25">
      <c r="A76" s="1">
        <v>75</v>
      </c>
    </row>
    <row r="77" spans="1:1" x14ac:dyDescent="0.25">
      <c r="A77" s="1">
        <v>76</v>
      </c>
    </row>
    <row r="78" spans="1:1" x14ac:dyDescent="0.25">
      <c r="A78" s="1">
        <v>77</v>
      </c>
    </row>
    <row r="79" spans="1:1" x14ac:dyDescent="0.25">
      <c r="A79" s="1">
        <v>78</v>
      </c>
    </row>
    <row r="80" spans="1:1" x14ac:dyDescent="0.25">
      <c r="A80" s="1">
        <v>79</v>
      </c>
    </row>
    <row r="81" spans="1:1" x14ac:dyDescent="0.25">
      <c r="A81" s="1">
        <v>80</v>
      </c>
    </row>
    <row r="82" spans="1:1" x14ac:dyDescent="0.25">
      <c r="A82" s="1">
        <v>81</v>
      </c>
    </row>
    <row r="83" spans="1:1" x14ac:dyDescent="0.25">
      <c r="A83" s="1">
        <v>82</v>
      </c>
    </row>
    <row r="84" spans="1:1" x14ac:dyDescent="0.25">
      <c r="A84" s="1">
        <v>83</v>
      </c>
    </row>
    <row r="85" spans="1:1" x14ac:dyDescent="0.25">
      <c r="A85" s="1">
        <v>84</v>
      </c>
    </row>
    <row r="86" spans="1:1" x14ac:dyDescent="0.25">
      <c r="A86" s="1">
        <v>85</v>
      </c>
    </row>
    <row r="87" spans="1:1" x14ac:dyDescent="0.25">
      <c r="A87" s="1">
        <v>86</v>
      </c>
    </row>
    <row r="88" spans="1:1" x14ac:dyDescent="0.25">
      <c r="A88" s="1">
        <v>87</v>
      </c>
    </row>
    <row r="89" spans="1:1" x14ac:dyDescent="0.25">
      <c r="A89" s="1">
        <v>88</v>
      </c>
    </row>
    <row r="90" spans="1:1" x14ac:dyDescent="0.25">
      <c r="A90" s="1">
        <v>89</v>
      </c>
    </row>
    <row r="91" spans="1:1" x14ac:dyDescent="0.25">
      <c r="A91" s="1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  <row r="182" spans="1:1" x14ac:dyDescent="0.25">
      <c r="A182" s="1">
        <v>181</v>
      </c>
    </row>
    <row r="183" spans="1:1" x14ac:dyDescent="0.25">
      <c r="A183" s="1">
        <v>182</v>
      </c>
    </row>
    <row r="184" spans="1:1" x14ac:dyDescent="0.25">
      <c r="A184" s="1">
        <v>183</v>
      </c>
    </row>
    <row r="185" spans="1:1" x14ac:dyDescent="0.25">
      <c r="A185" s="1">
        <v>184</v>
      </c>
    </row>
    <row r="186" spans="1:1" x14ac:dyDescent="0.25">
      <c r="A186" s="1">
        <v>185</v>
      </c>
    </row>
    <row r="187" spans="1:1" x14ac:dyDescent="0.25">
      <c r="A187" s="1">
        <v>186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444E-4241-487B-9934-80B533A9ACE0}">
  <dimension ref="A1:M304"/>
  <sheetViews>
    <sheetView topLeftCell="D1" zoomScale="119" zoomScaleNormal="55" workbookViewId="0">
      <pane ySplit="1" topLeftCell="A22" activePane="bottomLeft" state="frozen"/>
      <selection pane="bottomLeft" activeCell="J50" sqref="J50"/>
    </sheetView>
  </sheetViews>
  <sheetFormatPr defaultRowHeight="15" x14ac:dyDescent="0.25"/>
  <cols>
    <col min="1" max="1" width="6.85546875" style="8" customWidth="1"/>
    <col min="2" max="2" width="9.140625" style="8"/>
    <col min="3" max="3" width="15.7109375" style="8" customWidth="1"/>
    <col min="4" max="4" width="20.140625" style="8" customWidth="1"/>
    <col min="5" max="5" width="42.85546875" style="9" customWidth="1"/>
    <col min="6" max="6" width="14.28515625" style="8" customWidth="1"/>
    <col min="7" max="7" width="12.85546875" style="7" customWidth="1"/>
    <col min="8" max="8" width="12.7109375" style="7" customWidth="1"/>
    <col min="9" max="9" width="15.5703125" style="7" customWidth="1"/>
    <col min="10" max="10" width="15.5703125" style="42" customWidth="1"/>
    <col min="11" max="12" width="35.7109375" customWidth="1"/>
    <col min="13" max="13" width="43" customWidth="1"/>
  </cols>
  <sheetData>
    <row r="1" spans="1:13" ht="38.25" x14ac:dyDescent="0.25">
      <c r="A1" s="6" t="s">
        <v>0</v>
      </c>
      <c r="B1" s="6" t="s">
        <v>1</v>
      </c>
      <c r="C1" s="6" t="s">
        <v>2</v>
      </c>
      <c r="D1" s="6" t="s">
        <v>10</v>
      </c>
      <c r="E1" s="6" t="s">
        <v>3</v>
      </c>
      <c r="F1" s="6" t="s">
        <v>4</v>
      </c>
      <c r="G1" s="6" t="s">
        <v>31</v>
      </c>
      <c r="H1" s="6" t="s">
        <v>32</v>
      </c>
      <c r="I1" s="6" t="s">
        <v>363</v>
      </c>
      <c r="J1" s="56" t="s">
        <v>364</v>
      </c>
    </row>
    <row r="2" spans="1:13" s="27" customFormat="1" ht="45" x14ac:dyDescent="0.25">
      <c r="A2" s="24">
        <v>1</v>
      </c>
      <c r="B2" s="24">
        <v>2020</v>
      </c>
      <c r="C2" s="24" t="s">
        <v>147</v>
      </c>
      <c r="D2" s="24" t="s">
        <v>148</v>
      </c>
      <c r="E2" s="25" t="s">
        <v>149</v>
      </c>
      <c r="F2" s="24" t="s">
        <v>8</v>
      </c>
      <c r="G2" s="26">
        <v>70</v>
      </c>
      <c r="H2" s="26">
        <v>104</v>
      </c>
      <c r="I2" s="26">
        <v>50.397306</v>
      </c>
      <c r="J2" s="26">
        <v>36.870170999999999</v>
      </c>
      <c r="K2" s="40" t="s">
        <v>340</v>
      </c>
    </row>
    <row r="3" spans="1:13" ht="30" x14ac:dyDescent="0.25">
      <c r="A3" s="17">
        <v>27</v>
      </c>
      <c r="B3" s="17">
        <v>2020</v>
      </c>
      <c r="C3" s="17" t="s">
        <v>211</v>
      </c>
      <c r="D3" s="17" t="s">
        <v>148</v>
      </c>
      <c r="E3" s="18" t="s">
        <v>212</v>
      </c>
      <c r="F3" s="17" t="s">
        <v>213</v>
      </c>
      <c r="G3" s="19" t="s">
        <v>214</v>
      </c>
      <c r="H3" s="19" t="s">
        <v>214</v>
      </c>
      <c r="I3" s="19" t="s">
        <v>214</v>
      </c>
      <c r="J3" s="7"/>
      <c r="K3" s="21" t="s">
        <v>306</v>
      </c>
      <c r="L3" s="20"/>
      <c r="M3" s="20"/>
    </row>
    <row r="4" spans="1:13" s="32" customFormat="1" ht="30" x14ac:dyDescent="0.25">
      <c r="A4" s="28">
        <v>2</v>
      </c>
      <c r="B4" s="28">
        <v>2020</v>
      </c>
      <c r="C4" s="28" t="s">
        <v>150</v>
      </c>
      <c r="D4" s="28" t="s">
        <v>151</v>
      </c>
      <c r="E4" s="29" t="s">
        <v>152</v>
      </c>
      <c r="F4" s="28" t="s">
        <v>8</v>
      </c>
      <c r="G4" s="30">
        <v>70</v>
      </c>
      <c r="H4" s="30">
        <v>70</v>
      </c>
      <c r="I4" s="30">
        <v>56.249394000000002</v>
      </c>
      <c r="J4" s="30">
        <v>42.138423000000003</v>
      </c>
      <c r="K4" s="31" t="s">
        <v>341</v>
      </c>
    </row>
    <row r="5" spans="1:13" s="32" customFormat="1" ht="75" x14ac:dyDescent="0.25">
      <c r="A5" s="28">
        <v>3</v>
      </c>
      <c r="B5" s="28">
        <v>2020</v>
      </c>
      <c r="C5" s="28" t="s">
        <v>153</v>
      </c>
      <c r="D5" s="28" t="s">
        <v>154</v>
      </c>
      <c r="E5" s="29" t="s">
        <v>155</v>
      </c>
      <c r="F5" s="28" t="s">
        <v>8</v>
      </c>
      <c r="G5" s="30">
        <v>45</v>
      </c>
      <c r="H5" s="30">
        <v>53.07</v>
      </c>
      <c r="I5" s="30">
        <v>51.102614000000003</v>
      </c>
      <c r="J5" s="30">
        <v>41.621143000000004</v>
      </c>
      <c r="K5" s="31" t="s">
        <v>342</v>
      </c>
      <c r="L5" s="31" t="s">
        <v>343</v>
      </c>
      <c r="M5" s="31" t="s">
        <v>344</v>
      </c>
    </row>
    <row r="6" spans="1:13" s="32" customFormat="1" ht="30" x14ac:dyDescent="0.25">
      <c r="A6" s="28">
        <v>4</v>
      </c>
      <c r="B6" s="28">
        <v>2020</v>
      </c>
      <c r="C6" s="28" t="s">
        <v>156</v>
      </c>
      <c r="D6" s="28" t="s">
        <v>154</v>
      </c>
      <c r="E6" s="29" t="s">
        <v>157</v>
      </c>
      <c r="F6" s="28" t="s">
        <v>8</v>
      </c>
      <c r="G6" s="30">
        <v>90</v>
      </c>
      <c r="H6" s="30">
        <v>109.3</v>
      </c>
      <c r="I6" s="30">
        <v>50.201639</v>
      </c>
      <c r="J6" s="30">
        <v>39.489888000000001</v>
      </c>
      <c r="K6" s="33" t="s">
        <v>345</v>
      </c>
      <c r="L6" s="31" t="s">
        <v>346</v>
      </c>
    </row>
    <row r="7" spans="1:13" s="20" customFormat="1" ht="60" x14ac:dyDescent="0.25">
      <c r="A7" s="8">
        <v>5</v>
      </c>
      <c r="B7" s="8">
        <v>2020</v>
      </c>
      <c r="C7" s="8" t="s">
        <v>158</v>
      </c>
      <c r="D7" s="8" t="s">
        <v>154</v>
      </c>
      <c r="E7" s="9" t="s">
        <v>159</v>
      </c>
      <c r="F7" s="8" t="s">
        <v>8</v>
      </c>
      <c r="G7" s="7">
        <v>70</v>
      </c>
      <c r="H7" s="7">
        <v>97.89</v>
      </c>
      <c r="I7" s="7">
        <v>50.456482000000001</v>
      </c>
      <c r="J7" s="26">
        <v>40.101323000000001</v>
      </c>
      <c r="K7" s="11" t="s">
        <v>347</v>
      </c>
      <c r="L7"/>
      <c r="M7"/>
    </row>
    <row r="8" spans="1:13" ht="45" x14ac:dyDescent="0.25">
      <c r="A8" s="8">
        <v>28</v>
      </c>
      <c r="B8" s="8">
        <v>2020</v>
      </c>
      <c r="C8" s="8" t="s">
        <v>215</v>
      </c>
      <c r="D8" s="8" t="s">
        <v>154</v>
      </c>
      <c r="E8" s="9" t="s">
        <v>216</v>
      </c>
      <c r="F8" s="8" t="s">
        <v>8</v>
      </c>
      <c r="G8" s="7">
        <v>70</v>
      </c>
      <c r="H8" s="7">
        <v>83.92</v>
      </c>
      <c r="I8" s="7">
        <v>51.315075</v>
      </c>
      <c r="J8" s="7">
        <v>39.212302000000001</v>
      </c>
      <c r="K8" s="11" t="s">
        <v>307</v>
      </c>
    </row>
    <row r="9" spans="1:13" ht="25.5" x14ac:dyDescent="0.25">
      <c r="A9" s="17">
        <v>29</v>
      </c>
      <c r="B9" s="17">
        <v>2020</v>
      </c>
      <c r="C9" s="17" t="s">
        <v>217</v>
      </c>
      <c r="D9" s="17" t="s">
        <v>154</v>
      </c>
      <c r="E9" s="18" t="s">
        <v>218</v>
      </c>
      <c r="F9" s="17" t="s">
        <v>213</v>
      </c>
      <c r="G9" s="19">
        <v>80</v>
      </c>
      <c r="H9" s="19" t="s">
        <v>214</v>
      </c>
      <c r="I9" s="19" t="s">
        <v>214</v>
      </c>
      <c r="J9" s="19"/>
      <c r="K9" s="20"/>
      <c r="L9" s="20"/>
      <c r="M9" s="20"/>
    </row>
    <row r="10" spans="1:13" ht="25.5" x14ac:dyDescent="0.25">
      <c r="A10" s="17">
        <v>30</v>
      </c>
      <c r="B10" s="17">
        <v>2020</v>
      </c>
      <c r="C10" s="17" t="s">
        <v>219</v>
      </c>
      <c r="D10" s="17" t="s">
        <v>154</v>
      </c>
      <c r="E10" s="18" t="s">
        <v>220</v>
      </c>
      <c r="F10" s="17" t="s">
        <v>213</v>
      </c>
      <c r="G10" s="19" t="s">
        <v>214</v>
      </c>
      <c r="H10" s="19" t="s">
        <v>214</v>
      </c>
      <c r="I10" s="19" t="s">
        <v>214</v>
      </c>
      <c r="J10" s="19"/>
      <c r="K10" s="20"/>
      <c r="L10" s="20"/>
      <c r="M10" s="20"/>
    </row>
    <row r="11" spans="1:13" ht="38.25" x14ac:dyDescent="0.25">
      <c r="A11" s="17">
        <v>31</v>
      </c>
      <c r="B11" s="17">
        <v>2020</v>
      </c>
      <c r="C11" s="17" t="s">
        <v>221</v>
      </c>
      <c r="D11" s="17" t="s">
        <v>154</v>
      </c>
      <c r="E11" s="18" t="s">
        <v>222</v>
      </c>
      <c r="F11" s="17" t="s">
        <v>213</v>
      </c>
      <c r="G11" s="19">
        <v>70</v>
      </c>
      <c r="H11" s="19" t="s">
        <v>214</v>
      </c>
      <c r="I11" s="19" t="s">
        <v>214</v>
      </c>
      <c r="J11" s="19"/>
      <c r="K11" s="20"/>
      <c r="L11" s="20"/>
      <c r="M11" s="20"/>
    </row>
    <row r="12" spans="1:13" s="20" customFormat="1" x14ac:dyDescent="0.25">
      <c r="A12" s="17">
        <v>6</v>
      </c>
      <c r="B12" s="17">
        <v>2020</v>
      </c>
      <c r="C12" s="17" t="s">
        <v>160</v>
      </c>
      <c r="D12" s="17" t="s">
        <v>161</v>
      </c>
      <c r="E12" s="18" t="s">
        <v>162</v>
      </c>
      <c r="F12" s="17" t="s">
        <v>8</v>
      </c>
      <c r="G12" s="19">
        <v>70</v>
      </c>
      <c r="H12" s="19">
        <v>70</v>
      </c>
      <c r="I12" s="19" t="s">
        <v>214</v>
      </c>
      <c r="J12" s="19"/>
    </row>
    <row r="13" spans="1:13" s="32" customFormat="1" ht="38.25" x14ac:dyDescent="0.25">
      <c r="A13" s="28">
        <v>7</v>
      </c>
      <c r="B13" s="28">
        <v>2020</v>
      </c>
      <c r="C13" s="28" t="s">
        <v>163</v>
      </c>
      <c r="D13" s="28" t="s">
        <v>161</v>
      </c>
      <c r="E13" s="29" t="s">
        <v>164</v>
      </c>
      <c r="F13" s="28" t="s">
        <v>8</v>
      </c>
      <c r="G13" s="30">
        <v>70</v>
      </c>
      <c r="H13" s="30">
        <v>70</v>
      </c>
      <c r="I13" s="34" t="s">
        <v>366</v>
      </c>
      <c r="J13" s="34" t="s">
        <v>365</v>
      </c>
      <c r="K13" s="35" t="s">
        <v>292</v>
      </c>
    </row>
    <row r="14" spans="1:13" s="16" customFormat="1" ht="26.25" x14ac:dyDescent="0.25">
      <c r="A14" s="12">
        <v>8</v>
      </c>
      <c r="B14" s="12">
        <v>2020</v>
      </c>
      <c r="C14" s="12" t="s">
        <v>165</v>
      </c>
      <c r="D14" s="12" t="s">
        <v>161</v>
      </c>
      <c r="E14" s="13" t="s">
        <v>166</v>
      </c>
      <c r="F14" s="12" t="s">
        <v>8</v>
      </c>
      <c r="G14" s="14">
        <v>45</v>
      </c>
      <c r="H14" s="14">
        <v>45</v>
      </c>
      <c r="I14" s="14">
        <v>56.558458000000002</v>
      </c>
      <c r="J14" s="57">
        <v>40.120528</v>
      </c>
      <c r="K14" s="37" t="s">
        <v>291</v>
      </c>
    </row>
    <row r="15" spans="1:13" x14ac:dyDescent="0.25">
      <c r="A15" s="17">
        <v>32</v>
      </c>
      <c r="B15" s="17">
        <v>2020</v>
      </c>
      <c r="C15" s="17" t="s">
        <v>223</v>
      </c>
      <c r="D15" s="17" t="s">
        <v>161</v>
      </c>
      <c r="E15" s="18" t="s">
        <v>224</v>
      </c>
      <c r="F15" s="17" t="s">
        <v>213</v>
      </c>
      <c r="G15" s="19">
        <v>50</v>
      </c>
      <c r="H15" s="19" t="s">
        <v>214</v>
      </c>
      <c r="I15" s="19" t="s">
        <v>214</v>
      </c>
      <c r="J15" s="19" t="s">
        <v>214</v>
      </c>
      <c r="K15" s="20"/>
      <c r="L15" s="20"/>
      <c r="M15" s="20"/>
    </row>
    <row r="16" spans="1:13" x14ac:dyDescent="0.25">
      <c r="A16" s="17">
        <v>33</v>
      </c>
      <c r="B16" s="17">
        <v>2020</v>
      </c>
      <c r="C16" s="17" t="s">
        <v>225</v>
      </c>
      <c r="D16" s="17" t="s">
        <v>161</v>
      </c>
      <c r="E16" s="18" t="s">
        <v>226</v>
      </c>
      <c r="F16" s="17" t="s">
        <v>213</v>
      </c>
      <c r="G16" s="19">
        <v>70</v>
      </c>
      <c r="H16" s="19">
        <v>70</v>
      </c>
      <c r="I16" s="19" t="s">
        <v>214</v>
      </c>
      <c r="J16" s="19" t="s">
        <v>214</v>
      </c>
      <c r="K16" s="20"/>
      <c r="L16" s="20"/>
      <c r="M16" s="20"/>
    </row>
    <row r="17" spans="1:13" x14ac:dyDescent="0.25">
      <c r="A17" s="17">
        <v>34</v>
      </c>
      <c r="B17" s="17">
        <v>2020</v>
      </c>
      <c r="C17" s="17" t="s">
        <v>227</v>
      </c>
      <c r="D17" s="17" t="s">
        <v>161</v>
      </c>
      <c r="E17" s="18" t="s">
        <v>228</v>
      </c>
      <c r="F17" s="17" t="s">
        <v>213</v>
      </c>
      <c r="G17" s="19" t="s">
        <v>214</v>
      </c>
      <c r="H17" s="19" t="s">
        <v>214</v>
      </c>
      <c r="I17" s="19" t="s">
        <v>214</v>
      </c>
      <c r="J17" s="19" t="s">
        <v>214</v>
      </c>
      <c r="K17" s="20"/>
      <c r="L17" s="20"/>
      <c r="M17" s="20"/>
    </row>
    <row r="18" spans="1:13" s="27" customFormat="1" ht="25.5" x14ac:dyDescent="0.25">
      <c r="A18" s="24">
        <v>9</v>
      </c>
      <c r="B18" s="24">
        <v>2020</v>
      </c>
      <c r="C18" s="24" t="s">
        <v>167</v>
      </c>
      <c r="D18" s="24" t="s">
        <v>168</v>
      </c>
      <c r="E18" s="25" t="s">
        <v>169</v>
      </c>
      <c r="F18" s="24" t="s">
        <v>8</v>
      </c>
      <c r="G18" s="26">
        <v>45</v>
      </c>
      <c r="H18" s="26">
        <v>45.06</v>
      </c>
      <c r="I18" s="26">
        <v>54.805351000000002</v>
      </c>
      <c r="J18" s="58">
        <v>35.927309000000001</v>
      </c>
      <c r="K18" s="39"/>
    </row>
    <row r="19" spans="1:13" s="32" customFormat="1" ht="45" x14ac:dyDescent="0.25">
      <c r="A19" s="28">
        <v>10</v>
      </c>
      <c r="B19" s="28">
        <v>2020</v>
      </c>
      <c r="C19" s="28" t="s">
        <v>170</v>
      </c>
      <c r="D19" s="28" t="s">
        <v>168</v>
      </c>
      <c r="E19" s="29" t="s">
        <v>171</v>
      </c>
      <c r="F19" s="28" t="s">
        <v>8</v>
      </c>
      <c r="G19" s="30">
        <v>45</v>
      </c>
      <c r="H19" s="30">
        <v>29.37</v>
      </c>
      <c r="I19" s="30">
        <v>55.207535999999998</v>
      </c>
      <c r="J19" s="59">
        <v>36.483916000000001</v>
      </c>
      <c r="K19" s="31" t="s">
        <v>294</v>
      </c>
    </row>
    <row r="20" spans="1:13" s="20" customFormat="1" ht="75" x14ac:dyDescent="0.25">
      <c r="A20" s="17">
        <v>11</v>
      </c>
      <c r="B20" s="17">
        <v>2020</v>
      </c>
      <c r="C20" s="17" t="s">
        <v>172</v>
      </c>
      <c r="D20" s="17" t="s">
        <v>168</v>
      </c>
      <c r="E20" s="18" t="s">
        <v>173</v>
      </c>
      <c r="F20" s="17" t="s">
        <v>213</v>
      </c>
      <c r="G20" s="19">
        <v>45</v>
      </c>
      <c r="H20" s="19">
        <v>50.9</v>
      </c>
      <c r="I20" s="19" t="s">
        <v>214</v>
      </c>
      <c r="J20" s="19" t="s">
        <v>214</v>
      </c>
      <c r="K20" s="21" t="s">
        <v>296</v>
      </c>
    </row>
    <row r="21" spans="1:13" s="16" customFormat="1" x14ac:dyDescent="0.25">
      <c r="A21" s="12">
        <v>35</v>
      </c>
      <c r="B21" s="12">
        <v>2020</v>
      </c>
      <c r="C21" s="12" t="s">
        <v>229</v>
      </c>
      <c r="D21" s="12" t="s">
        <v>168</v>
      </c>
      <c r="E21" s="13" t="s">
        <v>230</v>
      </c>
      <c r="F21" s="12" t="s">
        <v>8</v>
      </c>
      <c r="G21" s="14">
        <v>50</v>
      </c>
      <c r="H21" s="14">
        <v>61.04</v>
      </c>
      <c r="I21" s="14">
        <v>55.03866</v>
      </c>
      <c r="J21" s="57">
        <v>36.739660000000001</v>
      </c>
    </row>
    <row r="22" spans="1:13" ht="25.5" x14ac:dyDescent="0.25">
      <c r="A22" s="17">
        <v>36</v>
      </c>
      <c r="B22" s="17">
        <v>2020</v>
      </c>
      <c r="C22" s="17" t="s">
        <v>231</v>
      </c>
      <c r="D22" s="17" t="s">
        <v>168</v>
      </c>
      <c r="E22" s="18" t="s">
        <v>232</v>
      </c>
      <c r="F22" s="17" t="s">
        <v>213</v>
      </c>
      <c r="G22" s="19" t="s">
        <v>214</v>
      </c>
      <c r="H22" s="19">
        <v>54.33</v>
      </c>
      <c r="I22" s="19" t="s">
        <v>214</v>
      </c>
      <c r="J22" s="19" t="s">
        <v>214</v>
      </c>
      <c r="K22" s="20"/>
      <c r="L22" s="20"/>
      <c r="M22" s="20"/>
    </row>
    <row r="23" spans="1:13" s="32" customFormat="1" x14ac:dyDescent="0.25">
      <c r="A23" s="28">
        <v>12</v>
      </c>
      <c r="B23" s="28">
        <v>2020</v>
      </c>
      <c r="C23" s="28" t="s">
        <v>174</v>
      </c>
      <c r="D23" s="28" t="s">
        <v>175</v>
      </c>
      <c r="E23" s="29" t="s">
        <v>176</v>
      </c>
      <c r="F23" s="28" t="s">
        <v>8</v>
      </c>
      <c r="G23" s="30">
        <v>70</v>
      </c>
      <c r="H23" s="30">
        <v>70</v>
      </c>
      <c r="I23" s="30">
        <v>58.384604000000003</v>
      </c>
      <c r="J23" s="59">
        <v>45.494894000000002</v>
      </c>
    </row>
    <row r="24" spans="1:13" s="27" customFormat="1" ht="25.5" x14ac:dyDescent="0.25">
      <c r="A24" s="24">
        <v>37</v>
      </c>
      <c r="B24" s="24">
        <v>2020</v>
      </c>
      <c r="C24" s="24" t="s">
        <v>233</v>
      </c>
      <c r="D24" s="24" t="s">
        <v>175</v>
      </c>
      <c r="E24" s="25" t="s">
        <v>234</v>
      </c>
      <c r="F24" s="24" t="s">
        <v>8</v>
      </c>
      <c r="G24" s="26" t="s">
        <v>214</v>
      </c>
      <c r="H24" s="26" t="s">
        <v>214</v>
      </c>
      <c r="I24" s="26">
        <v>57.460299999999997</v>
      </c>
      <c r="J24" s="58">
        <v>40.582016000000003</v>
      </c>
    </row>
    <row r="25" spans="1:13" s="16" customFormat="1" x14ac:dyDescent="0.25">
      <c r="A25" s="12">
        <v>13</v>
      </c>
      <c r="B25" s="12">
        <v>2020</v>
      </c>
      <c r="C25" s="12" t="s">
        <v>177</v>
      </c>
      <c r="D25" s="12" t="s">
        <v>178</v>
      </c>
      <c r="E25" s="13" t="s">
        <v>179</v>
      </c>
      <c r="F25" s="12" t="s">
        <v>8</v>
      </c>
      <c r="G25" s="14">
        <v>45</v>
      </c>
      <c r="H25" s="14">
        <v>79.900000000000006</v>
      </c>
      <c r="I25" s="14">
        <v>53.237045999999999</v>
      </c>
      <c r="J25" s="57">
        <v>39.971786999999999</v>
      </c>
    </row>
    <row r="26" spans="1:13" s="32" customFormat="1" ht="30" x14ac:dyDescent="0.25">
      <c r="A26" s="28">
        <v>14</v>
      </c>
      <c r="B26" s="28">
        <v>2020</v>
      </c>
      <c r="C26" s="28" t="s">
        <v>180</v>
      </c>
      <c r="D26" s="28" t="s">
        <v>178</v>
      </c>
      <c r="E26" s="29" t="s">
        <v>181</v>
      </c>
      <c r="F26" s="28" t="s">
        <v>8</v>
      </c>
      <c r="G26" s="30">
        <v>44.5</v>
      </c>
      <c r="H26" s="30">
        <v>79.7</v>
      </c>
      <c r="I26" s="34" t="s">
        <v>368</v>
      </c>
      <c r="J26" s="60" t="s">
        <v>367</v>
      </c>
      <c r="K26" s="31" t="s">
        <v>298</v>
      </c>
    </row>
    <row r="27" spans="1:13" s="16" customFormat="1" ht="25.5" x14ac:dyDescent="0.25">
      <c r="A27" s="12">
        <v>15</v>
      </c>
      <c r="B27" s="12">
        <v>2020</v>
      </c>
      <c r="C27" s="12" t="s">
        <v>182</v>
      </c>
      <c r="D27" s="12" t="s">
        <v>178</v>
      </c>
      <c r="E27" s="13" t="s">
        <v>183</v>
      </c>
      <c r="F27" s="12" t="s">
        <v>8</v>
      </c>
      <c r="G27" s="14">
        <v>45</v>
      </c>
      <c r="H27" s="14">
        <v>82.19</v>
      </c>
      <c r="I27" s="14">
        <v>53.247582000000001</v>
      </c>
      <c r="J27" s="57">
        <v>39.141179999999999</v>
      </c>
    </row>
    <row r="28" spans="1:13" s="27" customFormat="1" ht="25.5" x14ac:dyDescent="0.25">
      <c r="A28" s="24">
        <v>38</v>
      </c>
      <c r="B28" s="24">
        <v>2020</v>
      </c>
      <c r="C28" s="24" t="s">
        <v>235</v>
      </c>
      <c r="D28" s="24" t="s">
        <v>178</v>
      </c>
      <c r="E28" s="25" t="s">
        <v>236</v>
      </c>
      <c r="F28" s="24" t="s">
        <v>8</v>
      </c>
      <c r="G28" s="26">
        <v>50</v>
      </c>
      <c r="H28" s="26">
        <v>80.55</v>
      </c>
      <c r="I28" s="26">
        <v>52.048482</v>
      </c>
      <c r="J28" s="58">
        <v>39.738250000000001</v>
      </c>
    </row>
    <row r="29" spans="1:13" x14ac:dyDescent="0.25">
      <c r="A29" s="17">
        <v>39</v>
      </c>
      <c r="B29" s="17">
        <v>2020</v>
      </c>
      <c r="C29" s="17" t="s">
        <v>237</v>
      </c>
      <c r="D29" s="17" t="s">
        <v>178</v>
      </c>
      <c r="E29" s="18" t="s">
        <v>238</v>
      </c>
      <c r="F29" s="17" t="s">
        <v>8</v>
      </c>
      <c r="G29" s="19">
        <v>70</v>
      </c>
      <c r="H29" s="19">
        <v>101.94</v>
      </c>
      <c r="I29" s="19" t="s">
        <v>214</v>
      </c>
      <c r="J29" s="19" t="s">
        <v>214</v>
      </c>
      <c r="K29" s="20"/>
      <c r="L29" s="20"/>
      <c r="M29" s="20"/>
    </row>
    <row r="30" spans="1:13" s="16" customFormat="1" ht="25.5" x14ac:dyDescent="0.25">
      <c r="A30" s="12">
        <v>40</v>
      </c>
      <c r="B30" s="12">
        <v>2020</v>
      </c>
      <c r="C30" s="12" t="s">
        <v>239</v>
      </c>
      <c r="D30" s="12" t="s">
        <v>178</v>
      </c>
      <c r="E30" s="13" t="s">
        <v>240</v>
      </c>
      <c r="F30" s="12" t="s">
        <v>8</v>
      </c>
      <c r="G30" s="14">
        <v>50</v>
      </c>
      <c r="H30" s="14">
        <v>76.5</v>
      </c>
      <c r="I30" s="14">
        <v>53.010401999999999</v>
      </c>
      <c r="J30" s="57">
        <v>39.129967000000001</v>
      </c>
    </row>
    <row r="31" spans="1:13" s="32" customFormat="1" ht="30" x14ac:dyDescent="0.25">
      <c r="A31" s="28">
        <v>16</v>
      </c>
      <c r="B31" s="28">
        <v>2020</v>
      </c>
      <c r="C31" s="28" t="s">
        <v>184</v>
      </c>
      <c r="D31" s="28" t="s">
        <v>185</v>
      </c>
      <c r="E31" s="29" t="s">
        <v>186</v>
      </c>
      <c r="F31" s="28" t="s">
        <v>8</v>
      </c>
      <c r="G31" s="30">
        <v>44.5</v>
      </c>
      <c r="H31" s="30">
        <v>111.87</v>
      </c>
      <c r="I31" s="30">
        <v>55.861916999999998</v>
      </c>
      <c r="J31" s="59">
        <v>38.446460999999999</v>
      </c>
      <c r="K31" s="31" t="s">
        <v>300</v>
      </c>
    </row>
    <row r="32" spans="1:13" s="16" customFormat="1" ht="25.5" x14ac:dyDescent="0.25">
      <c r="A32" s="12">
        <v>17</v>
      </c>
      <c r="B32" s="12">
        <v>2020</v>
      </c>
      <c r="C32" s="12" t="s">
        <v>187</v>
      </c>
      <c r="D32" s="12" t="s">
        <v>185</v>
      </c>
      <c r="E32" s="13" t="s">
        <v>188</v>
      </c>
      <c r="F32" s="12" t="s">
        <v>8</v>
      </c>
      <c r="G32" s="14">
        <v>45</v>
      </c>
      <c r="H32" s="14">
        <v>201.37</v>
      </c>
      <c r="I32" s="14">
        <v>56.034165000000002</v>
      </c>
      <c r="J32" s="57">
        <v>35.968705999999997</v>
      </c>
      <c r="K32" s="38" t="s">
        <v>302</v>
      </c>
    </row>
    <row r="33" spans="1:13" s="16" customFormat="1" ht="25.5" x14ac:dyDescent="0.25">
      <c r="A33" s="12">
        <v>18</v>
      </c>
      <c r="B33" s="12">
        <v>2020</v>
      </c>
      <c r="C33" s="12" t="s">
        <v>189</v>
      </c>
      <c r="D33" s="12" t="s">
        <v>185</v>
      </c>
      <c r="E33" s="13" t="s">
        <v>190</v>
      </c>
      <c r="F33" s="12" t="s">
        <v>8</v>
      </c>
      <c r="G33" s="14">
        <v>90</v>
      </c>
      <c r="H33" s="14">
        <v>212.11</v>
      </c>
      <c r="I33" s="14">
        <v>55.379818</v>
      </c>
      <c r="J33" s="57">
        <v>39.042633000000002</v>
      </c>
      <c r="K33" s="38" t="s">
        <v>303</v>
      </c>
    </row>
    <row r="34" spans="1:13" s="20" customFormat="1" x14ac:dyDescent="0.25">
      <c r="A34" s="17">
        <v>19</v>
      </c>
      <c r="B34" s="17">
        <v>2020</v>
      </c>
      <c r="C34" s="17" t="s">
        <v>191</v>
      </c>
      <c r="D34" s="17" t="s">
        <v>185</v>
      </c>
      <c r="E34" s="18" t="s">
        <v>192</v>
      </c>
      <c r="F34" s="17" t="s">
        <v>213</v>
      </c>
      <c r="G34" s="19">
        <v>90</v>
      </c>
      <c r="H34" s="19">
        <v>184.14</v>
      </c>
      <c r="I34" s="19" t="s">
        <v>214</v>
      </c>
      <c r="J34" s="19" t="s">
        <v>214</v>
      </c>
    </row>
    <row r="35" spans="1:13" s="16" customFormat="1" ht="30" x14ac:dyDescent="0.25">
      <c r="A35" s="12">
        <v>20</v>
      </c>
      <c r="B35" s="12">
        <v>2020</v>
      </c>
      <c r="C35" s="12" t="s">
        <v>193</v>
      </c>
      <c r="D35" s="12" t="s">
        <v>185</v>
      </c>
      <c r="E35" s="13" t="s">
        <v>194</v>
      </c>
      <c r="F35" s="12" t="s">
        <v>8</v>
      </c>
      <c r="G35" s="14">
        <v>44.5</v>
      </c>
      <c r="H35" s="14">
        <v>102.69</v>
      </c>
      <c r="I35" s="14">
        <v>54.756417999999996</v>
      </c>
      <c r="J35" s="57">
        <v>38.861849999999997</v>
      </c>
      <c r="K35" s="15" t="s">
        <v>304</v>
      </c>
    </row>
    <row r="36" spans="1:13" ht="25.5" x14ac:dyDescent="0.25">
      <c r="A36" s="8">
        <v>41</v>
      </c>
      <c r="B36" s="8">
        <v>2020</v>
      </c>
      <c r="C36" s="8" t="s">
        <v>241</v>
      </c>
      <c r="D36" s="8" t="s">
        <v>185</v>
      </c>
      <c r="E36" s="9" t="s">
        <v>242</v>
      </c>
      <c r="F36" s="8" t="s">
        <v>8</v>
      </c>
      <c r="G36" s="7" t="s">
        <v>214</v>
      </c>
      <c r="H36" s="7" t="s">
        <v>214</v>
      </c>
      <c r="I36" s="7">
        <v>56.010669999999998</v>
      </c>
      <c r="J36" s="42">
        <v>37.460369999999998</v>
      </c>
      <c r="K36" s="10" t="s">
        <v>308</v>
      </c>
    </row>
    <row r="37" spans="1:13" s="20" customFormat="1" ht="30" x14ac:dyDescent="0.25">
      <c r="A37" s="8">
        <v>42</v>
      </c>
      <c r="B37" s="8">
        <v>2020</v>
      </c>
      <c r="C37" s="8" t="s">
        <v>243</v>
      </c>
      <c r="D37" s="8" t="s">
        <v>185</v>
      </c>
      <c r="E37" s="9" t="s">
        <v>244</v>
      </c>
      <c r="F37" s="8" t="s">
        <v>8</v>
      </c>
      <c r="G37" s="7">
        <v>50</v>
      </c>
      <c r="H37" s="7">
        <v>90.13</v>
      </c>
      <c r="I37" s="7">
        <v>55.146552999999997</v>
      </c>
      <c r="J37" s="58">
        <v>37.466361999999997</v>
      </c>
      <c r="K37" s="11" t="s">
        <v>309</v>
      </c>
      <c r="L37"/>
      <c r="M37"/>
    </row>
    <row r="38" spans="1:13" s="32" customFormat="1" x14ac:dyDescent="0.25">
      <c r="A38" s="28">
        <v>43</v>
      </c>
      <c r="B38" s="28">
        <v>2020</v>
      </c>
      <c r="C38" s="28" t="s">
        <v>245</v>
      </c>
      <c r="D38" s="28" t="s">
        <v>185</v>
      </c>
      <c r="E38" s="29" t="s">
        <v>246</v>
      </c>
      <c r="F38" s="28" t="s">
        <v>8</v>
      </c>
      <c r="G38" s="30">
        <v>70</v>
      </c>
      <c r="H38" s="30">
        <v>517.17999999999995</v>
      </c>
      <c r="I38" s="30">
        <v>55.731718999999998</v>
      </c>
      <c r="J38" s="59">
        <v>36.849933999999998</v>
      </c>
      <c r="K38" s="33" t="s">
        <v>245</v>
      </c>
    </row>
    <row r="39" spans="1:13" s="16" customFormat="1" ht="30" x14ac:dyDescent="0.25">
      <c r="A39" s="12">
        <v>44</v>
      </c>
      <c r="B39" s="12">
        <v>2020</v>
      </c>
      <c r="C39" s="12" t="s">
        <v>247</v>
      </c>
      <c r="D39" s="12" t="s">
        <v>185</v>
      </c>
      <c r="E39" s="13" t="s">
        <v>248</v>
      </c>
      <c r="F39" s="12" t="s">
        <v>8</v>
      </c>
      <c r="G39" s="14">
        <v>50</v>
      </c>
      <c r="H39" s="14">
        <v>104.83</v>
      </c>
      <c r="I39" s="14">
        <v>55.810571000000003</v>
      </c>
      <c r="J39" s="57">
        <v>38.989043000000002</v>
      </c>
      <c r="K39" s="15" t="s">
        <v>312</v>
      </c>
    </row>
    <row r="40" spans="1:13" s="20" customFormat="1" ht="60" x14ac:dyDescent="0.25">
      <c r="A40" s="8">
        <v>45</v>
      </c>
      <c r="B40" s="8">
        <v>2020</v>
      </c>
      <c r="C40" s="8" t="s">
        <v>249</v>
      </c>
      <c r="D40" s="8" t="s">
        <v>185</v>
      </c>
      <c r="E40" s="9" t="s">
        <v>250</v>
      </c>
      <c r="F40" s="8" t="s">
        <v>8</v>
      </c>
      <c r="G40" s="7">
        <v>70</v>
      </c>
      <c r="H40" s="7" t="s">
        <v>214</v>
      </c>
      <c r="I40" s="7">
        <v>55.431708999999998</v>
      </c>
      <c r="J40" s="58">
        <v>38.255268999999998</v>
      </c>
      <c r="K40" s="11" t="s">
        <v>313</v>
      </c>
      <c r="L40"/>
      <c r="M40"/>
    </row>
    <row r="41" spans="1:13" s="27" customFormat="1" ht="25.5" x14ac:dyDescent="0.25">
      <c r="A41" s="17">
        <v>46</v>
      </c>
      <c r="B41" s="17">
        <v>2020</v>
      </c>
      <c r="C41" s="17" t="s">
        <v>251</v>
      </c>
      <c r="D41" s="17" t="s">
        <v>185</v>
      </c>
      <c r="E41" s="18" t="s">
        <v>252</v>
      </c>
      <c r="F41" s="17" t="s">
        <v>213</v>
      </c>
      <c r="G41" s="19">
        <v>70</v>
      </c>
      <c r="H41" s="19">
        <v>157.11000000000001</v>
      </c>
      <c r="I41" s="19" t="s">
        <v>214</v>
      </c>
      <c r="J41" s="19" t="s">
        <v>214</v>
      </c>
      <c r="K41" s="20"/>
      <c r="L41" s="20"/>
      <c r="M41" s="20"/>
    </row>
    <row r="42" spans="1:13" ht="38.25" x14ac:dyDescent="0.25">
      <c r="A42" s="17">
        <v>47</v>
      </c>
      <c r="B42" s="17">
        <v>2020</v>
      </c>
      <c r="C42" s="17" t="s">
        <v>253</v>
      </c>
      <c r="D42" s="17" t="s">
        <v>185</v>
      </c>
      <c r="E42" s="18" t="s">
        <v>254</v>
      </c>
      <c r="F42" s="17" t="s">
        <v>213</v>
      </c>
      <c r="G42" s="19" t="s">
        <v>214</v>
      </c>
      <c r="H42" s="19" t="s">
        <v>214</v>
      </c>
      <c r="I42" s="19" t="s">
        <v>214</v>
      </c>
      <c r="J42" s="19" t="s">
        <v>214</v>
      </c>
      <c r="K42" s="20"/>
      <c r="L42" s="20"/>
      <c r="M42" s="20"/>
    </row>
    <row r="43" spans="1:13" ht="30" x14ac:dyDescent="0.25">
      <c r="A43" s="8">
        <v>21</v>
      </c>
      <c r="B43" s="8">
        <v>2020</v>
      </c>
      <c r="C43" s="8" t="s">
        <v>195</v>
      </c>
      <c r="D43" s="8" t="s">
        <v>196</v>
      </c>
      <c r="E43" s="9" t="s">
        <v>197</v>
      </c>
      <c r="F43" s="8" t="s">
        <v>8</v>
      </c>
      <c r="G43" s="7">
        <v>45</v>
      </c>
      <c r="H43" s="7">
        <v>49.27</v>
      </c>
      <c r="I43" s="7">
        <v>52.505062000000002</v>
      </c>
      <c r="J43" s="42">
        <v>35.14199</v>
      </c>
      <c r="K43" s="11" t="s">
        <v>305</v>
      </c>
    </row>
    <row r="44" spans="1:13" s="32" customFormat="1" ht="60" x14ac:dyDescent="0.25">
      <c r="A44" s="28">
        <v>48</v>
      </c>
      <c r="B44" s="28">
        <v>2020</v>
      </c>
      <c r="C44" s="28" t="s">
        <v>255</v>
      </c>
      <c r="D44" s="28" t="s">
        <v>196</v>
      </c>
      <c r="E44" s="29" t="s">
        <v>256</v>
      </c>
      <c r="F44" s="28" t="s">
        <v>8</v>
      </c>
      <c r="G44" s="30">
        <v>50</v>
      </c>
      <c r="H44" s="30">
        <v>58.08</v>
      </c>
      <c r="I44" s="30">
        <v>52.400481999999997</v>
      </c>
      <c r="J44" s="59">
        <v>36.506585000000001</v>
      </c>
      <c r="K44" s="31" t="s">
        <v>315</v>
      </c>
      <c r="L44" s="31" t="s">
        <v>316</v>
      </c>
    </row>
    <row r="45" spans="1:13" s="32" customFormat="1" ht="30" x14ac:dyDescent="0.25">
      <c r="A45" s="28">
        <v>49</v>
      </c>
      <c r="B45" s="28">
        <v>2020</v>
      </c>
      <c r="C45" s="28" t="s">
        <v>257</v>
      </c>
      <c r="D45" s="28" t="s">
        <v>196</v>
      </c>
      <c r="E45" s="29" t="s">
        <v>258</v>
      </c>
      <c r="F45" s="28" t="s">
        <v>8</v>
      </c>
      <c r="G45" s="30">
        <v>50</v>
      </c>
      <c r="H45" s="30">
        <v>70.5</v>
      </c>
      <c r="I45" s="30">
        <v>52.402538999999997</v>
      </c>
      <c r="J45" s="59">
        <v>37.561084999999999</v>
      </c>
      <c r="K45" s="31" t="s">
        <v>317</v>
      </c>
    </row>
    <row r="46" spans="1:13" x14ac:dyDescent="0.25">
      <c r="A46" s="8">
        <v>50</v>
      </c>
      <c r="B46" s="8">
        <v>2020</v>
      </c>
      <c r="C46" s="8" t="s">
        <v>259</v>
      </c>
      <c r="D46" s="8" t="s">
        <v>196</v>
      </c>
      <c r="E46" s="9" t="s">
        <v>260</v>
      </c>
      <c r="F46" s="8" t="s">
        <v>8</v>
      </c>
      <c r="G46" s="7">
        <v>50</v>
      </c>
      <c r="H46" s="7">
        <v>57.76</v>
      </c>
      <c r="I46" s="7">
        <v>53.441034000000002</v>
      </c>
      <c r="J46" s="42">
        <v>36.007165999999998</v>
      </c>
      <c r="K46" s="10" t="s">
        <v>320</v>
      </c>
    </row>
    <row r="47" spans="1:13" s="32" customFormat="1" ht="45" x14ac:dyDescent="0.25">
      <c r="A47" s="28">
        <v>51</v>
      </c>
      <c r="B47" s="28">
        <v>2020</v>
      </c>
      <c r="C47" s="28" t="s">
        <v>261</v>
      </c>
      <c r="D47" s="28" t="s">
        <v>262</v>
      </c>
      <c r="E47" s="29" t="s">
        <v>263</v>
      </c>
      <c r="F47" s="28" t="s">
        <v>8</v>
      </c>
      <c r="G47" s="30">
        <v>50</v>
      </c>
      <c r="H47" s="30">
        <v>75.7</v>
      </c>
      <c r="I47" s="30">
        <v>53.926712000000002</v>
      </c>
      <c r="J47" s="59">
        <v>40.047815999999997</v>
      </c>
      <c r="K47" s="31" t="s">
        <v>321</v>
      </c>
    </row>
    <row r="48" spans="1:13" s="20" customFormat="1" ht="38.25" x14ac:dyDescent="0.25">
      <c r="A48" s="17">
        <v>22</v>
      </c>
      <c r="B48" s="17">
        <v>2020</v>
      </c>
      <c r="C48" s="17" t="s">
        <v>198</v>
      </c>
      <c r="D48" s="17" t="s">
        <v>199</v>
      </c>
      <c r="E48" s="18" t="s">
        <v>200</v>
      </c>
      <c r="F48" s="17" t="s">
        <v>8</v>
      </c>
      <c r="G48" s="19">
        <v>70</v>
      </c>
      <c r="H48" s="19">
        <v>91.43</v>
      </c>
      <c r="I48" s="19" t="s">
        <v>214</v>
      </c>
      <c r="J48" s="19" t="s">
        <v>214</v>
      </c>
    </row>
    <row r="49" spans="1:13" s="27" customFormat="1" ht="25.5" x14ac:dyDescent="0.25">
      <c r="A49" s="24">
        <v>23</v>
      </c>
      <c r="B49" s="24">
        <v>2020</v>
      </c>
      <c r="C49" s="24" t="s">
        <v>201</v>
      </c>
      <c r="D49" s="24" t="s">
        <v>199</v>
      </c>
      <c r="E49" s="25" t="s">
        <v>202</v>
      </c>
      <c r="F49" s="24" t="s">
        <v>8</v>
      </c>
      <c r="G49" s="26">
        <v>70</v>
      </c>
      <c r="H49" s="26">
        <v>90.01</v>
      </c>
      <c r="I49" s="26">
        <v>54.159992000000003</v>
      </c>
      <c r="J49" s="58">
        <v>33.285407999999997</v>
      </c>
    </row>
    <row r="50" spans="1:13" s="32" customFormat="1" ht="45" x14ac:dyDescent="0.25">
      <c r="A50" s="28">
        <v>52</v>
      </c>
      <c r="B50" s="28">
        <v>2020</v>
      </c>
      <c r="C50" s="28" t="s">
        <v>264</v>
      </c>
      <c r="D50" s="28" t="s">
        <v>199</v>
      </c>
      <c r="E50" s="29" t="s">
        <v>265</v>
      </c>
      <c r="F50" s="28" t="s">
        <v>8</v>
      </c>
      <c r="G50" s="30">
        <v>50</v>
      </c>
      <c r="H50" s="30">
        <v>55.66</v>
      </c>
      <c r="I50" s="30">
        <v>55.605837999999999</v>
      </c>
      <c r="J50" s="59">
        <v>31.194264</v>
      </c>
      <c r="K50" s="31" t="s">
        <v>323</v>
      </c>
      <c r="L50" s="31" t="s">
        <v>324</v>
      </c>
    </row>
    <row r="51" spans="1:13" ht="38.25" x14ac:dyDescent="0.25">
      <c r="A51" s="17">
        <v>53</v>
      </c>
      <c r="B51" s="17">
        <v>2020</v>
      </c>
      <c r="C51" s="17" t="s">
        <v>266</v>
      </c>
      <c r="D51" s="17" t="s">
        <v>199</v>
      </c>
      <c r="E51" s="18" t="s">
        <v>267</v>
      </c>
      <c r="F51" s="17" t="s">
        <v>213</v>
      </c>
      <c r="G51" s="19" t="s">
        <v>214</v>
      </c>
      <c r="H51" s="19" t="s">
        <v>214</v>
      </c>
      <c r="I51" s="19" t="s">
        <v>214</v>
      </c>
      <c r="J51" s="19" t="s">
        <v>214</v>
      </c>
      <c r="K51" s="20"/>
      <c r="L51" s="20"/>
      <c r="M51" s="20"/>
    </row>
    <row r="52" spans="1:13" ht="25.5" x14ac:dyDescent="0.25">
      <c r="A52" s="17">
        <v>54</v>
      </c>
      <c r="B52" s="17">
        <v>2020</v>
      </c>
      <c r="C52" s="17" t="s">
        <v>268</v>
      </c>
      <c r="D52" s="17" t="s">
        <v>199</v>
      </c>
      <c r="E52" s="18" t="s">
        <v>269</v>
      </c>
      <c r="F52" s="17" t="s">
        <v>213</v>
      </c>
      <c r="G52" s="19" t="s">
        <v>214</v>
      </c>
      <c r="H52" s="19" t="s">
        <v>214</v>
      </c>
      <c r="I52" s="19" t="s">
        <v>214</v>
      </c>
      <c r="J52" s="19" t="s">
        <v>214</v>
      </c>
      <c r="K52" s="20"/>
      <c r="L52" s="20"/>
      <c r="M52" s="20"/>
    </row>
    <row r="53" spans="1:13" ht="25.5" x14ac:dyDescent="0.25">
      <c r="A53" s="17">
        <v>55</v>
      </c>
      <c r="B53" s="17">
        <v>2020</v>
      </c>
      <c r="C53" s="17" t="s">
        <v>270</v>
      </c>
      <c r="D53" s="17" t="s">
        <v>271</v>
      </c>
      <c r="E53" s="18" t="s">
        <v>272</v>
      </c>
      <c r="F53" s="17" t="s">
        <v>213</v>
      </c>
      <c r="G53" s="19">
        <v>70</v>
      </c>
      <c r="H53" s="19" t="s">
        <v>214</v>
      </c>
      <c r="I53" s="19" t="s">
        <v>214</v>
      </c>
      <c r="J53" s="19" t="s">
        <v>214</v>
      </c>
      <c r="K53" s="22"/>
      <c r="L53" s="20"/>
      <c r="M53" s="20"/>
    </row>
    <row r="54" spans="1:13" s="20" customFormat="1" ht="38.25" x14ac:dyDescent="0.25">
      <c r="A54" s="17">
        <v>24</v>
      </c>
      <c r="B54" s="17">
        <v>2020</v>
      </c>
      <c r="C54" s="17" t="s">
        <v>203</v>
      </c>
      <c r="D54" s="17" t="s">
        <v>204</v>
      </c>
      <c r="E54" s="18" t="s">
        <v>205</v>
      </c>
      <c r="F54" s="17" t="s">
        <v>8</v>
      </c>
      <c r="G54" s="19">
        <v>70</v>
      </c>
      <c r="H54" s="19">
        <v>72.02</v>
      </c>
      <c r="I54" s="19" t="s">
        <v>214</v>
      </c>
      <c r="J54" s="19" t="s">
        <v>214</v>
      </c>
    </row>
    <row r="55" spans="1:13" s="32" customFormat="1" ht="45" x14ac:dyDescent="0.25">
      <c r="A55" s="28">
        <v>56</v>
      </c>
      <c r="B55" s="28">
        <v>2020</v>
      </c>
      <c r="C55" s="28" t="s">
        <v>273</v>
      </c>
      <c r="D55" s="28" t="s">
        <v>204</v>
      </c>
      <c r="E55" s="29" t="s">
        <v>274</v>
      </c>
      <c r="F55" s="28" t="s">
        <v>8</v>
      </c>
      <c r="G55" s="30">
        <v>50</v>
      </c>
      <c r="H55" s="30">
        <v>56.97</v>
      </c>
      <c r="I55" s="30">
        <v>57.157210999999997</v>
      </c>
      <c r="J55" s="59">
        <v>33.105513000000002</v>
      </c>
      <c r="K55" s="36" t="s">
        <v>327</v>
      </c>
    </row>
    <row r="56" spans="1:13" s="20" customFormat="1" ht="25.5" x14ac:dyDescent="0.25">
      <c r="A56" s="17">
        <v>57</v>
      </c>
      <c r="B56" s="17">
        <v>2020</v>
      </c>
      <c r="C56" s="17" t="s">
        <v>275</v>
      </c>
      <c r="D56" s="17" t="s">
        <v>204</v>
      </c>
      <c r="E56" s="18" t="s">
        <v>276</v>
      </c>
      <c r="F56" s="17" t="s">
        <v>213</v>
      </c>
      <c r="G56" s="19" t="s">
        <v>214</v>
      </c>
      <c r="H56" s="19" t="s">
        <v>214</v>
      </c>
      <c r="I56" s="19" t="s">
        <v>214</v>
      </c>
      <c r="J56" s="19" t="s">
        <v>214</v>
      </c>
      <c r="K56" s="23"/>
    </row>
    <row r="57" spans="1:13" s="27" customFormat="1" ht="45" x14ac:dyDescent="0.25">
      <c r="A57" s="24">
        <v>58</v>
      </c>
      <c r="B57" s="24">
        <v>2020</v>
      </c>
      <c r="C57" s="24" t="s">
        <v>277</v>
      </c>
      <c r="D57" s="24" t="s">
        <v>204</v>
      </c>
      <c r="E57" s="25" t="s">
        <v>334</v>
      </c>
      <c r="F57" s="24" t="s">
        <v>8</v>
      </c>
      <c r="G57" s="26">
        <v>70</v>
      </c>
      <c r="H57" s="26" t="s">
        <v>214</v>
      </c>
      <c r="I57" s="26">
        <v>56.225583</v>
      </c>
      <c r="J57" s="58">
        <v>32.771835000000003</v>
      </c>
      <c r="K57" s="55" t="s">
        <v>328</v>
      </c>
    </row>
    <row r="58" spans="1:13" s="20" customFormat="1" ht="25.5" x14ac:dyDescent="0.25">
      <c r="A58" s="17">
        <v>59</v>
      </c>
      <c r="B58" s="17">
        <v>2020</v>
      </c>
      <c r="C58" s="17" t="s">
        <v>278</v>
      </c>
      <c r="D58" s="17" t="s">
        <v>204</v>
      </c>
      <c r="E58" s="18" t="s">
        <v>279</v>
      </c>
      <c r="F58" s="17" t="s">
        <v>213</v>
      </c>
      <c r="G58" s="19" t="s">
        <v>214</v>
      </c>
      <c r="H58" s="19" t="s">
        <v>214</v>
      </c>
      <c r="I58" s="19" t="s">
        <v>214</v>
      </c>
      <c r="J58" s="19" t="s">
        <v>214</v>
      </c>
    </row>
    <row r="59" spans="1:13" ht="25.5" x14ac:dyDescent="0.25">
      <c r="A59" s="17">
        <v>60</v>
      </c>
      <c r="B59" s="17">
        <v>2020</v>
      </c>
      <c r="C59" s="17" t="s">
        <v>280</v>
      </c>
      <c r="D59" s="17" t="s">
        <v>204</v>
      </c>
      <c r="E59" s="18" t="s">
        <v>333</v>
      </c>
      <c r="F59" s="17" t="s">
        <v>213</v>
      </c>
      <c r="G59" s="19">
        <v>50</v>
      </c>
      <c r="H59" s="19">
        <v>56.77</v>
      </c>
      <c r="I59" s="19" t="s">
        <v>214</v>
      </c>
      <c r="J59" s="19" t="s">
        <v>214</v>
      </c>
      <c r="K59" s="20"/>
      <c r="L59" s="20"/>
      <c r="M59" s="20"/>
    </row>
    <row r="60" spans="1:13" s="20" customFormat="1" ht="38.25" x14ac:dyDescent="0.25">
      <c r="A60" s="17">
        <v>61</v>
      </c>
      <c r="B60" s="17">
        <v>2020</v>
      </c>
      <c r="C60" s="17" t="s">
        <v>281</v>
      </c>
      <c r="D60" s="17" t="s">
        <v>282</v>
      </c>
      <c r="E60" s="18" t="s">
        <v>283</v>
      </c>
      <c r="F60" s="17" t="s">
        <v>213</v>
      </c>
      <c r="G60" s="19">
        <v>50</v>
      </c>
      <c r="H60" s="19">
        <v>70.3</v>
      </c>
      <c r="I60" s="19" t="s">
        <v>214</v>
      </c>
      <c r="J60" s="19" t="s">
        <v>214</v>
      </c>
    </row>
    <row r="61" spans="1:13" s="32" customFormat="1" ht="60" x14ac:dyDescent="0.25">
      <c r="A61" s="28">
        <v>62</v>
      </c>
      <c r="B61" s="28">
        <v>2020</v>
      </c>
      <c r="C61" s="28" t="s">
        <v>284</v>
      </c>
      <c r="D61" s="28" t="s">
        <v>282</v>
      </c>
      <c r="E61" s="29" t="s">
        <v>329</v>
      </c>
      <c r="F61" s="28" t="s">
        <v>8</v>
      </c>
      <c r="G61" s="30">
        <v>50</v>
      </c>
      <c r="H61" s="30">
        <v>54.6</v>
      </c>
      <c r="I61" s="30">
        <v>53.941600999999999</v>
      </c>
      <c r="J61" s="59">
        <v>37.704889999999999</v>
      </c>
      <c r="K61" s="31" t="s">
        <v>330</v>
      </c>
    </row>
    <row r="62" spans="1:13" s="32" customFormat="1" ht="45" x14ac:dyDescent="0.25">
      <c r="A62" s="28">
        <v>63</v>
      </c>
      <c r="B62" s="28">
        <v>2020</v>
      </c>
      <c r="C62" s="28" t="s">
        <v>285</v>
      </c>
      <c r="D62" s="28" t="s">
        <v>282</v>
      </c>
      <c r="E62" s="29" t="s">
        <v>332</v>
      </c>
      <c r="F62" s="28" t="s">
        <v>8</v>
      </c>
      <c r="G62" s="30">
        <v>80</v>
      </c>
      <c r="H62" s="30">
        <v>169.99</v>
      </c>
      <c r="I62" s="30">
        <v>53.976365999999999</v>
      </c>
      <c r="J62" s="59">
        <v>38.162458000000001</v>
      </c>
      <c r="K62" s="31" t="s">
        <v>336</v>
      </c>
    </row>
    <row r="63" spans="1:13" s="27" customFormat="1" ht="25.5" x14ac:dyDescent="0.25">
      <c r="A63" s="24">
        <v>25</v>
      </c>
      <c r="B63" s="24">
        <v>2020</v>
      </c>
      <c r="C63" s="24" t="s">
        <v>206</v>
      </c>
      <c r="D63" s="24" t="s">
        <v>207</v>
      </c>
      <c r="E63" s="25" t="s">
        <v>208</v>
      </c>
      <c r="F63" s="24" t="s">
        <v>8</v>
      </c>
      <c r="G63" s="26">
        <v>70</v>
      </c>
      <c r="H63" s="26">
        <v>87.5</v>
      </c>
      <c r="I63" s="26">
        <v>57.528115</v>
      </c>
      <c r="J63" s="58">
        <v>38.321156000000002</v>
      </c>
    </row>
    <row r="64" spans="1:13" ht="25.5" x14ac:dyDescent="0.25">
      <c r="A64" s="17">
        <v>26</v>
      </c>
      <c r="B64" s="17">
        <v>2020</v>
      </c>
      <c r="C64" s="17" t="s">
        <v>209</v>
      </c>
      <c r="D64" s="17" t="s">
        <v>207</v>
      </c>
      <c r="E64" s="18" t="s">
        <v>210</v>
      </c>
      <c r="F64" s="17" t="s">
        <v>213</v>
      </c>
      <c r="G64" s="19">
        <v>90</v>
      </c>
      <c r="H64" s="19">
        <v>90</v>
      </c>
      <c r="I64" s="19" t="s">
        <v>214</v>
      </c>
      <c r="J64" s="19" t="s">
        <v>214</v>
      </c>
      <c r="K64" s="20"/>
      <c r="L64" s="20"/>
      <c r="M64" s="20"/>
    </row>
    <row r="65" spans="1:12" s="27" customFormat="1" ht="38.25" x14ac:dyDescent="0.25">
      <c r="A65" s="24">
        <v>64</v>
      </c>
      <c r="B65" s="24">
        <v>2020</v>
      </c>
      <c r="C65" s="24" t="s">
        <v>286</v>
      </c>
      <c r="D65" s="24" t="s">
        <v>207</v>
      </c>
      <c r="E65" s="25" t="s">
        <v>287</v>
      </c>
      <c r="F65" s="24" t="s">
        <v>213</v>
      </c>
      <c r="G65" s="26" t="s">
        <v>214</v>
      </c>
      <c r="H65" s="26" t="s">
        <v>214</v>
      </c>
      <c r="I65" s="26" t="s">
        <v>214</v>
      </c>
      <c r="J65" s="26" t="s">
        <v>214</v>
      </c>
    </row>
    <row r="66" spans="1:12" s="16" customFormat="1" ht="75" x14ac:dyDescent="0.25">
      <c r="A66" s="12">
        <v>65</v>
      </c>
      <c r="B66" s="12">
        <v>2020</v>
      </c>
      <c r="C66" s="12" t="s">
        <v>288</v>
      </c>
      <c r="D66" s="12" t="s">
        <v>207</v>
      </c>
      <c r="E66" s="13" t="s">
        <v>335</v>
      </c>
      <c r="F66" s="12" t="s">
        <v>8</v>
      </c>
      <c r="G66" s="14">
        <v>70</v>
      </c>
      <c r="H66" s="14">
        <v>87.5</v>
      </c>
      <c r="I66" s="14"/>
      <c r="J66" s="57"/>
      <c r="K66" s="15" t="s">
        <v>338</v>
      </c>
      <c r="L66" s="15" t="s">
        <v>339</v>
      </c>
    </row>
    <row r="67" spans="1:12" x14ac:dyDescent="0.25">
      <c r="A67" s="8">
        <v>66</v>
      </c>
    </row>
    <row r="68" spans="1:12" x14ac:dyDescent="0.25">
      <c r="A68" s="8">
        <v>67</v>
      </c>
    </row>
    <row r="69" spans="1:12" x14ac:dyDescent="0.25">
      <c r="A69" s="8">
        <v>68</v>
      </c>
    </row>
    <row r="70" spans="1:12" x14ac:dyDescent="0.25">
      <c r="A70" s="8">
        <v>69</v>
      </c>
    </row>
    <row r="71" spans="1:12" x14ac:dyDescent="0.25">
      <c r="A71" s="8">
        <v>70</v>
      </c>
    </row>
    <row r="72" spans="1:12" x14ac:dyDescent="0.25">
      <c r="A72" s="8">
        <v>71</v>
      </c>
    </row>
    <row r="73" spans="1:12" x14ac:dyDescent="0.25">
      <c r="A73" s="8">
        <v>72</v>
      </c>
    </row>
    <row r="74" spans="1:12" x14ac:dyDescent="0.25">
      <c r="A74" s="8">
        <v>73</v>
      </c>
    </row>
    <row r="75" spans="1:12" x14ac:dyDescent="0.25">
      <c r="A75" s="8">
        <v>74</v>
      </c>
    </row>
    <row r="76" spans="1:12" x14ac:dyDescent="0.25">
      <c r="A76" s="8">
        <v>75</v>
      </c>
    </row>
    <row r="77" spans="1:12" x14ac:dyDescent="0.25">
      <c r="A77" s="8">
        <v>76</v>
      </c>
    </row>
    <row r="78" spans="1:12" x14ac:dyDescent="0.25">
      <c r="A78" s="8">
        <v>77</v>
      </c>
    </row>
    <row r="79" spans="1:12" x14ac:dyDescent="0.25">
      <c r="A79" s="8">
        <v>78</v>
      </c>
    </row>
    <row r="80" spans="1:12" x14ac:dyDescent="0.25">
      <c r="A80" s="8">
        <v>79</v>
      </c>
    </row>
    <row r="81" spans="1:1" x14ac:dyDescent="0.25">
      <c r="A81" s="8">
        <v>80</v>
      </c>
    </row>
    <row r="82" spans="1:1" x14ac:dyDescent="0.25">
      <c r="A82" s="8">
        <v>81</v>
      </c>
    </row>
    <row r="83" spans="1:1" x14ac:dyDescent="0.25">
      <c r="A83" s="8">
        <v>82</v>
      </c>
    </row>
    <row r="84" spans="1:1" x14ac:dyDescent="0.25">
      <c r="A84" s="8">
        <v>83</v>
      </c>
    </row>
    <row r="85" spans="1:1" x14ac:dyDescent="0.25">
      <c r="A85" s="8">
        <v>84</v>
      </c>
    </row>
    <row r="86" spans="1:1" x14ac:dyDescent="0.25">
      <c r="A86" s="8">
        <v>85</v>
      </c>
    </row>
    <row r="87" spans="1:1" x14ac:dyDescent="0.25">
      <c r="A87" s="8">
        <v>86</v>
      </c>
    </row>
    <row r="88" spans="1:1" x14ac:dyDescent="0.25">
      <c r="A88" s="8">
        <v>87</v>
      </c>
    </row>
    <row r="89" spans="1:1" x14ac:dyDescent="0.25">
      <c r="A89" s="8">
        <v>88</v>
      </c>
    </row>
    <row r="90" spans="1:1" x14ac:dyDescent="0.25">
      <c r="A90" s="8">
        <v>89</v>
      </c>
    </row>
    <row r="91" spans="1:1" x14ac:dyDescent="0.25">
      <c r="A91" s="8">
        <v>90</v>
      </c>
    </row>
    <row r="92" spans="1:1" x14ac:dyDescent="0.25">
      <c r="A92" s="8">
        <v>91</v>
      </c>
    </row>
    <row r="93" spans="1:1" x14ac:dyDescent="0.25">
      <c r="A93" s="8">
        <v>92</v>
      </c>
    </row>
    <row r="94" spans="1:1" x14ac:dyDescent="0.25">
      <c r="A94" s="8">
        <v>93</v>
      </c>
    </row>
    <row r="95" spans="1:1" x14ac:dyDescent="0.25">
      <c r="A95" s="8">
        <v>94</v>
      </c>
    </row>
    <row r="96" spans="1:1" x14ac:dyDescent="0.25">
      <c r="A96" s="8">
        <v>95</v>
      </c>
    </row>
    <row r="97" spans="1:1" x14ac:dyDescent="0.25">
      <c r="A97" s="8">
        <v>96</v>
      </c>
    </row>
    <row r="98" spans="1:1" x14ac:dyDescent="0.25">
      <c r="A98" s="8">
        <v>97</v>
      </c>
    </row>
    <row r="99" spans="1:1" x14ac:dyDescent="0.25">
      <c r="A99" s="8">
        <v>98</v>
      </c>
    </row>
    <row r="100" spans="1:1" x14ac:dyDescent="0.25">
      <c r="A100" s="8">
        <v>99</v>
      </c>
    </row>
    <row r="101" spans="1:1" x14ac:dyDescent="0.25">
      <c r="A101" s="8">
        <v>100</v>
      </c>
    </row>
    <row r="102" spans="1:1" x14ac:dyDescent="0.25">
      <c r="A102" s="8">
        <v>101</v>
      </c>
    </row>
    <row r="103" spans="1:1" x14ac:dyDescent="0.25">
      <c r="A103" s="8">
        <v>102</v>
      </c>
    </row>
    <row r="104" spans="1:1" x14ac:dyDescent="0.25">
      <c r="A104" s="8">
        <v>103</v>
      </c>
    </row>
    <row r="105" spans="1:1" x14ac:dyDescent="0.25">
      <c r="A105" s="8">
        <v>104</v>
      </c>
    </row>
    <row r="106" spans="1:1" x14ac:dyDescent="0.25">
      <c r="A106" s="8">
        <v>105</v>
      </c>
    </row>
    <row r="107" spans="1:1" x14ac:dyDescent="0.25">
      <c r="A107" s="8">
        <v>106</v>
      </c>
    </row>
    <row r="108" spans="1:1" x14ac:dyDescent="0.25">
      <c r="A108" s="8">
        <v>107</v>
      </c>
    </row>
    <row r="109" spans="1:1" x14ac:dyDescent="0.25">
      <c r="A109" s="8">
        <v>108</v>
      </c>
    </row>
    <row r="110" spans="1:1" x14ac:dyDescent="0.25">
      <c r="A110" s="8">
        <v>109</v>
      </c>
    </row>
    <row r="111" spans="1:1" x14ac:dyDescent="0.25">
      <c r="A111" s="8">
        <v>110</v>
      </c>
    </row>
    <row r="112" spans="1:1" x14ac:dyDescent="0.25">
      <c r="A112" s="8">
        <v>111</v>
      </c>
    </row>
    <row r="113" spans="1:1" x14ac:dyDescent="0.25">
      <c r="A113" s="8">
        <v>112</v>
      </c>
    </row>
    <row r="114" spans="1:1" x14ac:dyDescent="0.25">
      <c r="A114" s="8">
        <v>113</v>
      </c>
    </row>
    <row r="115" spans="1:1" x14ac:dyDescent="0.25">
      <c r="A115" s="8">
        <v>114</v>
      </c>
    </row>
    <row r="116" spans="1:1" x14ac:dyDescent="0.25">
      <c r="A116" s="8">
        <v>115</v>
      </c>
    </row>
    <row r="117" spans="1:1" x14ac:dyDescent="0.25">
      <c r="A117" s="8">
        <v>116</v>
      </c>
    </row>
    <row r="118" spans="1:1" x14ac:dyDescent="0.25">
      <c r="A118" s="8">
        <v>117</v>
      </c>
    </row>
    <row r="119" spans="1:1" x14ac:dyDescent="0.25">
      <c r="A119" s="8">
        <v>118</v>
      </c>
    </row>
    <row r="120" spans="1:1" x14ac:dyDescent="0.25">
      <c r="A120" s="8">
        <v>119</v>
      </c>
    </row>
    <row r="121" spans="1:1" x14ac:dyDescent="0.25">
      <c r="A121" s="8">
        <v>120</v>
      </c>
    </row>
    <row r="122" spans="1:1" x14ac:dyDescent="0.25">
      <c r="A122" s="8">
        <v>121</v>
      </c>
    </row>
    <row r="123" spans="1:1" x14ac:dyDescent="0.25">
      <c r="A123" s="8">
        <v>122</v>
      </c>
    </row>
    <row r="124" spans="1:1" x14ac:dyDescent="0.25">
      <c r="A124" s="8">
        <v>123</v>
      </c>
    </row>
    <row r="125" spans="1:1" x14ac:dyDescent="0.25">
      <c r="A125" s="8">
        <v>124</v>
      </c>
    </row>
    <row r="126" spans="1:1" x14ac:dyDescent="0.25">
      <c r="A126" s="8">
        <v>125</v>
      </c>
    </row>
    <row r="127" spans="1:1" x14ac:dyDescent="0.25">
      <c r="A127" s="8">
        <v>126</v>
      </c>
    </row>
    <row r="128" spans="1:1" x14ac:dyDescent="0.25">
      <c r="A128" s="8">
        <v>127</v>
      </c>
    </row>
    <row r="129" spans="1:1" x14ac:dyDescent="0.25">
      <c r="A129" s="8">
        <v>128</v>
      </c>
    </row>
    <row r="130" spans="1:1" x14ac:dyDescent="0.25">
      <c r="A130" s="8">
        <v>129</v>
      </c>
    </row>
    <row r="131" spans="1:1" x14ac:dyDescent="0.25">
      <c r="A131" s="8">
        <v>130</v>
      </c>
    </row>
    <row r="132" spans="1:1" x14ac:dyDescent="0.25">
      <c r="A132" s="8">
        <v>131</v>
      </c>
    </row>
    <row r="133" spans="1:1" x14ac:dyDescent="0.25">
      <c r="A133" s="8">
        <v>132</v>
      </c>
    </row>
    <row r="134" spans="1:1" x14ac:dyDescent="0.25">
      <c r="A134" s="8">
        <v>133</v>
      </c>
    </row>
    <row r="135" spans="1:1" x14ac:dyDescent="0.25">
      <c r="A135" s="8">
        <v>134</v>
      </c>
    </row>
    <row r="136" spans="1:1" x14ac:dyDescent="0.25">
      <c r="A136" s="8">
        <v>135</v>
      </c>
    </row>
    <row r="137" spans="1:1" x14ac:dyDescent="0.25">
      <c r="A137" s="8">
        <v>136</v>
      </c>
    </row>
    <row r="138" spans="1:1" x14ac:dyDescent="0.25">
      <c r="A138" s="8">
        <v>137</v>
      </c>
    </row>
    <row r="139" spans="1:1" x14ac:dyDescent="0.25">
      <c r="A139" s="8">
        <v>138</v>
      </c>
    </row>
    <row r="140" spans="1:1" x14ac:dyDescent="0.25">
      <c r="A140" s="8">
        <v>139</v>
      </c>
    </row>
    <row r="141" spans="1:1" x14ac:dyDescent="0.25">
      <c r="A141" s="8">
        <v>140</v>
      </c>
    </row>
    <row r="142" spans="1:1" x14ac:dyDescent="0.25">
      <c r="A142" s="8">
        <v>141</v>
      </c>
    </row>
    <row r="143" spans="1:1" x14ac:dyDescent="0.25">
      <c r="A143" s="8">
        <v>142</v>
      </c>
    </row>
    <row r="144" spans="1:1" x14ac:dyDescent="0.25">
      <c r="A144" s="8">
        <v>143</v>
      </c>
    </row>
    <row r="145" spans="1:1" x14ac:dyDescent="0.25">
      <c r="A145" s="8">
        <v>144</v>
      </c>
    </row>
    <row r="146" spans="1:1" x14ac:dyDescent="0.25">
      <c r="A146" s="8">
        <v>145</v>
      </c>
    </row>
    <row r="147" spans="1:1" x14ac:dyDescent="0.25">
      <c r="A147" s="8">
        <v>146</v>
      </c>
    </row>
    <row r="148" spans="1:1" x14ac:dyDescent="0.25">
      <c r="A148" s="8">
        <v>147</v>
      </c>
    </row>
    <row r="149" spans="1:1" x14ac:dyDescent="0.25">
      <c r="A149" s="8">
        <v>148</v>
      </c>
    </row>
    <row r="150" spans="1:1" x14ac:dyDescent="0.25">
      <c r="A150" s="8">
        <v>149</v>
      </c>
    </row>
    <row r="151" spans="1:1" x14ac:dyDescent="0.25">
      <c r="A151" s="8">
        <v>150</v>
      </c>
    </row>
    <row r="152" spans="1:1" x14ac:dyDescent="0.25">
      <c r="A152" s="8">
        <v>151</v>
      </c>
    </row>
    <row r="153" spans="1:1" x14ac:dyDescent="0.25">
      <c r="A153" s="8">
        <v>152</v>
      </c>
    </row>
    <row r="154" spans="1:1" x14ac:dyDescent="0.25">
      <c r="A154" s="8">
        <v>153</v>
      </c>
    </row>
    <row r="155" spans="1:1" x14ac:dyDescent="0.25">
      <c r="A155" s="8">
        <v>154</v>
      </c>
    </row>
    <row r="156" spans="1:1" x14ac:dyDescent="0.25">
      <c r="A156" s="8">
        <v>155</v>
      </c>
    </row>
    <row r="157" spans="1:1" x14ac:dyDescent="0.25">
      <c r="A157" s="8">
        <v>156</v>
      </c>
    </row>
    <row r="158" spans="1:1" x14ac:dyDescent="0.25">
      <c r="A158" s="8">
        <v>157</v>
      </c>
    </row>
    <row r="159" spans="1:1" x14ac:dyDescent="0.25">
      <c r="A159" s="8">
        <v>158</v>
      </c>
    </row>
    <row r="160" spans="1:1" x14ac:dyDescent="0.25">
      <c r="A160" s="8">
        <v>159</v>
      </c>
    </row>
    <row r="161" spans="1:1" x14ac:dyDescent="0.25">
      <c r="A161" s="8">
        <v>160</v>
      </c>
    </row>
    <row r="162" spans="1:1" x14ac:dyDescent="0.25">
      <c r="A162" s="8">
        <v>161</v>
      </c>
    </row>
    <row r="163" spans="1:1" x14ac:dyDescent="0.25">
      <c r="A163" s="8">
        <v>162</v>
      </c>
    </row>
    <row r="164" spans="1:1" x14ac:dyDescent="0.25">
      <c r="A164" s="8">
        <v>163</v>
      </c>
    </row>
    <row r="165" spans="1:1" x14ac:dyDescent="0.25">
      <c r="A165" s="8">
        <v>164</v>
      </c>
    </row>
    <row r="166" spans="1:1" x14ac:dyDescent="0.25">
      <c r="A166" s="8">
        <v>165</v>
      </c>
    </row>
    <row r="167" spans="1:1" x14ac:dyDescent="0.25">
      <c r="A167" s="8">
        <v>166</v>
      </c>
    </row>
    <row r="168" spans="1:1" x14ac:dyDescent="0.25">
      <c r="A168" s="8">
        <v>167</v>
      </c>
    </row>
    <row r="169" spans="1:1" x14ac:dyDescent="0.25">
      <c r="A169" s="8">
        <v>168</v>
      </c>
    </row>
    <row r="170" spans="1:1" x14ac:dyDescent="0.25">
      <c r="A170" s="8">
        <v>169</v>
      </c>
    </row>
    <row r="171" spans="1:1" x14ac:dyDescent="0.25">
      <c r="A171" s="8">
        <v>170</v>
      </c>
    </row>
    <row r="172" spans="1:1" x14ac:dyDescent="0.25">
      <c r="A172" s="8">
        <v>171</v>
      </c>
    </row>
    <row r="173" spans="1:1" x14ac:dyDescent="0.25">
      <c r="A173" s="8">
        <v>172</v>
      </c>
    </row>
    <row r="174" spans="1:1" x14ac:dyDescent="0.25">
      <c r="A174" s="8">
        <v>173</v>
      </c>
    </row>
    <row r="175" spans="1:1" x14ac:dyDescent="0.25">
      <c r="A175" s="8">
        <v>174</v>
      </c>
    </row>
    <row r="176" spans="1:1" x14ac:dyDescent="0.25">
      <c r="A176" s="8">
        <v>175</v>
      </c>
    </row>
    <row r="177" spans="1:1" x14ac:dyDescent="0.25">
      <c r="A177" s="8">
        <v>176</v>
      </c>
    </row>
    <row r="178" spans="1:1" x14ac:dyDescent="0.25">
      <c r="A178" s="8">
        <v>177</v>
      </c>
    </row>
    <row r="179" spans="1:1" x14ac:dyDescent="0.25">
      <c r="A179" s="8">
        <v>178</v>
      </c>
    </row>
    <row r="180" spans="1:1" x14ac:dyDescent="0.25">
      <c r="A180" s="8">
        <v>179</v>
      </c>
    </row>
    <row r="181" spans="1:1" x14ac:dyDescent="0.25">
      <c r="A181" s="8">
        <v>180</v>
      </c>
    </row>
    <row r="182" spans="1:1" x14ac:dyDescent="0.25">
      <c r="A182" s="8">
        <v>181</v>
      </c>
    </row>
    <row r="183" spans="1:1" x14ac:dyDescent="0.25">
      <c r="A183" s="8">
        <v>182</v>
      </c>
    </row>
    <row r="184" spans="1:1" x14ac:dyDescent="0.25">
      <c r="A184" s="8">
        <v>183</v>
      </c>
    </row>
    <row r="185" spans="1:1" x14ac:dyDescent="0.25">
      <c r="A185" s="8">
        <v>184</v>
      </c>
    </row>
    <row r="186" spans="1:1" x14ac:dyDescent="0.25">
      <c r="A186" s="8">
        <v>185</v>
      </c>
    </row>
    <row r="187" spans="1:1" x14ac:dyDescent="0.25">
      <c r="A187" s="8">
        <v>186</v>
      </c>
    </row>
    <row r="188" spans="1:1" x14ac:dyDescent="0.25">
      <c r="A188" s="8">
        <v>187</v>
      </c>
    </row>
    <row r="189" spans="1:1" x14ac:dyDescent="0.25">
      <c r="A189" s="8">
        <v>188</v>
      </c>
    </row>
    <row r="190" spans="1:1" x14ac:dyDescent="0.25">
      <c r="A190" s="8">
        <v>189</v>
      </c>
    </row>
    <row r="191" spans="1:1" x14ac:dyDescent="0.25">
      <c r="A191" s="8">
        <v>190</v>
      </c>
    </row>
    <row r="192" spans="1:1" x14ac:dyDescent="0.25">
      <c r="A192" s="8">
        <v>191</v>
      </c>
    </row>
    <row r="193" spans="1:1" x14ac:dyDescent="0.25">
      <c r="A193" s="8">
        <v>192</v>
      </c>
    </row>
    <row r="194" spans="1:1" x14ac:dyDescent="0.25">
      <c r="A194" s="8">
        <v>193</v>
      </c>
    </row>
    <row r="195" spans="1:1" x14ac:dyDescent="0.25">
      <c r="A195" s="8">
        <v>194</v>
      </c>
    </row>
    <row r="196" spans="1:1" x14ac:dyDescent="0.25">
      <c r="A196" s="8">
        <v>195</v>
      </c>
    </row>
    <row r="197" spans="1:1" x14ac:dyDescent="0.25">
      <c r="A197" s="8">
        <v>196</v>
      </c>
    </row>
    <row r="198" spans="1:1" x14ac:dyDescent="0.25">
      <c r="A198" s="8">
        <v>197</v>
      </c>
    </row>
    <row r="199" spans="1:1" x14ac:dyDescent="0.25">
      <c r="A199" s="8">
        <v>198</v>
      </c>
    </row>
    <row r="200" spans="1:1" x14ac:dyDescent="0.25">
      <c r="A200" s="8">
        <v>199</v>
      </c>
    </row>
    <row r="201" spans="1:1" x14ac:dyDescent="0.25">
      <c r="A201" s="8">
        <v>200</v>
      </c>
    </row>
    <row r="202" spans="1:1" x14ac:dyDescent="0.25">
      <c r="A202" s="8">
        <v>201</v>
      </c>
    </row>
    <row r="203" spans="1:1" x14ac:dyDescent="0.25">
      <c r="A203" s="8">
        <v>202</v>
      </c>
    </row>
    <row r="204" spans="1:1" x14ac:dyDescent="0.25">
      <c r="A204" s="8">
        <v>203</v>
      </c>
    </row>
    <row r="205" spans="1:1" x14ac:dyDescent="0.25">
      <c r="A205" s="8">
        <v>204</v>
      </c>
    </row>
    <row r="206" spans="1:1" x14ac:dyDescent="0.25">
      <c r="A206" s="8">
        <v>205</v>
      </c>
    </row>
    <row r="207" spans="1:1" x14ac:dyDescent="0.25">
      <c r="A207" s="8">
        <v>206</v>
      </c>
    </row>
    <row r="208" spans="1:1" x14ac:dyDescent="0.25">
      <c r="A208" s="8">
        <v>207</v>
      </c>
    </row>
    <row r="209" spans="1:1" x14ac:dyDescent="0.25">
      <c r="A209" s="8">
        <v>208</v>
      </c>
    </row>
    <row r="210" spans="1:1" x14ac:dyDescent="0.25">
      <c r="A210" s="8">
        <v>209</v>
      </c>
    </row>
    <row r="211" spans="1:1" x14ac:dyDescent="0.25">
      <c r="A211" s="8">
        <v>210</v>
      </c>
    </row>
    <row r="212" spans="1:1" x14ac:dyDescent="0.25">
      <c r="A212" s="8">
        <v>211</v>
      </c>
    </row>
    <row r="213" spans="1:1" x14ac:dyDescent="0.25">
      <c r="A213" s="8">
        <v>212</v>
      </c>
    </row>
    <row r="214" spans="1:1" x14ac:dyDescent="0.25">
      <c r="A214" s="8">
        <v>213</v>
      </c>
    </row>
    <row r="215" spans="1:1" x14ac:dyDescent="0.25">
      <c r="A215" s="8">
        <v>214</v>
      </c>
    </row>
    <row r="216" spans="1:1" x14ac:dyDescent="0.25">
      <c r="A216" s="8">
        <v>215</v>
      </c>
    </row>
    <row r="217" spans="1:1" x14ac:dyDescent="0.25">
      <c r="A217" s="8">
        <v>216</v>
      </c>
    </row>
    <row r="218" spans="1:1" x14ac:dyDescent="0.25">
      <c r="A218" s="8">
        <v>217</v>
      </c>
    </row>
    <row r="219" spans="1:1" x14ac:dyDescent="0.25">
      <c r="A219" s="8">
        <v>218</v>
      </c>
    </row>
    <row r="220" spans="1:1" x14ac:dyDescent="0.25">
      <c r="A220" s="8">
        <v>219</v>
      </c>
    </row>
    <row r="221" spans="1:1" x14ac:dyDescent="0.25">
      <c r="A221" s="8">
        <v>220</v>
      </c>
    </row>
    <row r="222" spans="1:1" x14ac:dyDescent="0.25">
      <c r="A222" s="8">
        <v>221</v>
      </c>
    </row>
    <row r="223" spans="1:1" x14ac:dyDescent="0.25">
      <c r="A223" s="8">
        <v>222</v>
      </c>
    </row>
    <row r="224" spans="1:1" x14ac:dyDescent="0.25">
      <c r="A224" s="8">
        <v>223</v>
      </c>
    </row>
    <row r="225" spans="1:1" x14ac:dyDescent="0.25">
      <c r="A225" s="8">
        <v>224</v>
      </c>
    </row>
    <row r="226" spans="1:1" x14ac:dyDescent="0.25">
      <c r="A226" s="8">
        <v>225</v>
      </c>
    </row>
    <row r="227" spans="1:1" x14ac:dyDescent="0.25">
      <c r="A227" s="8">
        <v>226</v>
      </c>
    </row>
    <row r="228" spans="1:1" x14ac:dyDescent="0.25">
      <c r="A228" s="8">
        <v>227</v>
      </c>
    </row>
    <row r="229" spans="1:1" x14ac:dyDescent="0.25">
      <c r="A229" s="8">
        <v>228</v>
      </c>
    </row>
    <row r="230" spans="1:1" x14ac:dyDescent="0.25">
      <c r="A230" s="8">
        <v>229</v>
      </c>
    </row>
    <row r="231" spans="1:1" x14ac:dyDescent="0.25">
      <c r="A231" s="8">
        <v>230</v>
      </c>
    </row>
    <row r="232" spans="1:1" x14ac:dyDescent="0.25">
      <c r="A232" s="8">
        <v>231</v>
      </c>
    </row>
    <row r="233" spans="1:1" x14ac:dyDescent="0.25">
      <c r="A233" s="8">
        <v>232</v>
      </c>
    </row>
    <row r="234" spans="1:1" x14ac:dyDescent="0.25">
      <c r="A234" s="8">
        <v>233</v>
      </c>
    </row>
    <row r="235" spans="1:1" x14ac:dyDescent="0.25">
      <c r="A235" s="8">
        <v>234</v>
      </c>
    </row>
    <row r="236" spans="1:1" x14ac:dyDescent="0.25">
      <c r="A236" s="8">
        <v>235</v>
      </c>
    </row>
    <row r="237" spans="1:1" x14ac:dyDescent="0.25">
      <c r="A237" s="8">
        <v>236</v>
      </c>
    </row>
    <row r="238" spans="1:1" x14ac:dyDescent="0.25">
      <c r="A238" s="8">
        <v>237</v>
      </c>
    </row>
    <row r="239" spans="1:1" x14ac:dyDescent="0.25">
      <c r="A239" s="8">
        <v>238</v>
      </c>
    </row>
    <row r="240" spans="1:1" x14ac:dyDescent="0.25">
      <c r="A240" s="8">
        <v>239</v>
      </c>
    </row>
    <row r="241" spans="1:1" x14ac:dyDescent="0.25">
      <c r="A241" s="8">
        <v>240</v>
      </c>
    </row>
    <row r="242" spans="1:1" x14ac:dyDescent="0.25">
      <c r="A242" s="8">
        <v>241</v>
      </c>
    </row>
    <row r="243" spans="1:1" x14ac:dyDescent="0.25">
      <c r="A243" s="8">
        <v>242</v>
      </c>
    </row>
    <row r="244" spans="1:1" x14ac:dyDescent="0.25">
      <c r="A244" s="8">
        <v>243</v>
      </c>
    </row>
    <row r="245" spans="1:1" x14ac:dyDescent="0.25">
      <c r="A245" s="8">
        <v>244</v>
      </c>
    </row>
    <row r="246" spans="1:1" x14ac:dyDescent="0.25">
      <c r="A246" s="8">
        <v>245</v>
      </c>
    </row>
    <row r="247" spans="1:1" x14ac:dyDescent="0.25">
      <c r="A247" s="8">
        <v>246</v>
      </c>
    </row>
    <row r="248" spans="1:1" x14ac:dyDescent="0.25">
      <c r="A248" s="8">
        <v>247</v>
      </c>
    </row>
    <row r="249" spans="1:1" x14ac:dyDescent="0.25">
      <c r="A249" s="8">
        <v>248</v>
      </c>
    </row>
    <row r="250" spans="1:1" x14ac:dyDescent="0.25">
      <c r="A250" s="8">
        <v>249</v>
      </c>
    </row>
    <row r="251" spans="1:1" x14ac:dyDescent="0.25">
      <c r="A251" s="8">
        <v>250</v>
      </c>
    </row>
    <row r="252" spans="1:1" x14ac:dyDescent="0.25">
      <c r="A252" s="8">
        <v>251</v>
      </c>
    </row>
    <row r="253" spans="1:1" x14ac:dyDescent="0.25">
      <c r="A253" s="8">
        <v>252</v>
      </c>
    </row>
    <row r="254" spans="1:1" x14ac:dyDescent="0.25">
      <c r="A254" s="8">
        <v>253</v>
      </c>
    </row>
    <row r="255" spans="1:1" x14ac:dyDescent="0.25">
      <c r="A255" s="8">
        <v>254</v>
      </c>
    </row>
    <row r="256" spans="1:1" x14ac:dyDescent="0.25">
      <c r="A256" s="8">
        <v>255</v>
      </c>
    </row>
    <row r="257" spans="1:1" x14ac:dyDescent="0.25">
      <c r="A257" s="8">
        <v>256</v>
      </c>
    </row>
    <row r="258" spans="1:1" x14ac:dyDescent="0.25">
      <c r="A258" s="8">
        <v>257</v>
      </c>
    </row>
    <row r="259" spans="1:1" x14ac:dyDescent="0.25">
      <c r="A259" s="8">
        <v>258</v>
      </c>
    </row>
    <row r="260" spans="1:1" x14ac:dyDescent="0.25">
      <c r="A260" s="8">
        <v>259</v>
      </c>
    </row>
    <row r="261" spans="1:1" x14ac:dyDescent="0.25">
      <c r="A261" s="8">
        <v>260</v>
      </c>
    </row>
    <row r="262" spans="1:1" x14ac:dyDescent="0.25">
      <c r="A262" s="8">
        <v>261</v>
      </c>
    </row>
    <row r="263" spans="1:1" x14ac:dyDescent="0.25">
      <c r="A263" s="8">
        <v>262</v>
      </c>
    </row>
    <row r="264" spans="1:1" x14ac:dyDescent="0.25">
      <c r="A264" s="8">
        <v>263</v>
      </c>
    </row>
    <row r="265" spans="1:1" x14ac:dyDescent="0.25">
      <c r="A265" s="8">
        <v>264</v>
      </c>
    </row>
    <row r="266" spans="1:1" x14ac:dyDescent="0.25">
      <c r="A266" s="8">
        <v>265</v>
      </c>
    </row>
    <row r="267" spans="1:1" x14ac:dyDescent="0.25">
      <c r="A267" s="8">
        <v>266</v>
      </c>
    </row>
    <row r="268" spans="1:1" x14ac:dyDescent="0.25">
      <c r="A268" s="8">
        <v>267</v>
      </c>
    </row>
    <row r="269" spans="1:1" x14ac:dyDescent="0.25">
      <c r="A269" s="8">
        <v>268</v>
      </c>
    </row>
    <row r="270" spans="1:1" x14ac:dyDescent="0.25">
      <c r="A270" s="8">
        <v>269</v>
      </c>
    </row>
    <row r="271" spans="1:1" x14ac:dyDescent="0.25">
      <c r="A271" s="8">
        <v>270</v>
      </c>
    </row>
    <row r="272" spans="1:1" x14ac:dyDescent="0.25">
      <c r="A272" s="8">
        <v>271</v>
      </c>
    </row>
    <row r="273" spans="1:1" x14ac:dyDescent="0.25">
      <c r="A273" s="8">
        <v>272</v>
      </c>
    </row>
    <row r="274" spans="1:1" x14ac:dyDescent="0.25">
      <c r="A274" s="8">
        <v>273</v>
      </c>
    </row>
    <row r="275" spans="1:1" x14ac:dyDescent="0.25">
      <c r="A275" s="8">
        <v>274</v>
      </c>
    </row>
    <row r="276" spans="1:1" x14ac:dyDescent="0.25">
      <c r="A276" s="8">
        <v>275</v>
      </c>
    </row>
    <row r="277" spans="1:1" x14ac:dyDescent="0.25">
      <c r="A277" s="8">
        <v>276</v>
      </c>
    </row>
    <row r="278" spans="1:1" x14ac:dyDescent="0.25">
      <c r="A278" s="8">
        <v>277</v>
      </c>
    </row>
    <row r="279" spans="1:1" x14ac:dyDescent="0.25">
      <c r="A279" s="8">
        <v>278</v>
      </c>
    </row>
    <row r="280" spans="1:1" x14ac:dyDescent="0.25">
      <c r="A280" s="8">
        <v>279</v>
      </c>
    </row>
    <row r="281" spans="1:1" x14ac:dyDescent="0.25">
      <c r="A281" s="8">
        <v>280</v>
      </c>
    </row>
    <row r="282" spans="1:1" x14ac:dyDescent="0.25">
      <c r="A282" s="8">
        <v>281</v>
      </c>
    </row>
    <row r="283" spans="1:1" x14ac:dyDescent="0.25">
      <c r="A283" s="8">
        <v>282</v>
      </c>
    </row>
    <row r="284" spans="1:1" x14ac:dyDescent="0.25">
      <c r="A284" s="8">
        <v>283</v>
      </c>
    </row>
    <row r="285" spans="1:1" x14ac:dyDescent="0.25">
      <c r="A285" s="8">
        <v>284</v>
      </c>
    </row>
    <row r="286" spans="1:1" x14ac:dyDescent="0.25">
      <c r="A286" s="8">
        <v>285</v>
      </c>
    </row>
    <row r="287" spans="1:1" x14ac:dyDescent="0.25">
      <c r="A287" s="8">
        <v>286</v>
      </c>
    </row>
    <row r="288" spans="1:1" x14ac:dyDescent="0.25">
      <c r="A288" s="8">
        <v>287</v>
      </c>
    </row>
    <row r="289" spans="1:1" x14ac:dyDescent="0.25">
      <c r="A289" s="8">
        <v>288</v>
      </c>
    </row>
    <row r="290" spans="1:1" x14ac:dyDescent="0.25">
      <c r="A290" s="8">
        <v>289</v>
      </c>
    </row>
    <row r="291" spans="1:1" x14ac:dyDescent="0.25">
      <c r="A291" s="8">
        <v>290</v>
      </c>
    </row>
    <row r="292" spans="1:1" x14ac:dyDescent="0.25">
      <c r="A292" s="8">
        <v>291</v>
      </c>
    </row>
    <row r="293" spans="1:1" x14ac:dyDescent="0.25">
      <c r="A293" s="8">
        <v>292</v>
      </c>
    </row>
    <row r="294" spans="1:1" x14ac:dyDescent="0.25">
      <c r="A294" s="8">
        <v>293</v>
      </c>
    </row>
    <row r="295" spans="1:1" x14ac:dyDescent="0.25">
      <c r="A295" s="8">
        <v>294</v>
      </c>
    </row>
    <row r="296" spans="1:1" x14ac:dyDescent="0.25">
      <c r="A296" s="8">
        <v>295</v>
      </c>
    </row>
    <row r="297" spans="1:1" x14ac:dyDescent="0.25">
      <c r="A297" s="8">
        <v>296</v>
      </c>
    </row>
    <row r="298" spans="1:1" x14ac:dyDescent="0.25">
      <c r="A298" s="8">
        <v>297</v>
      </c>
    </row>
    <row r="299" spans="1:1" x14ac:dyDescent="0.25">
      <c r="A299" s="8">
        <v>298</v>
      </c>
    </row>
    <row r="300" spans="1:1" x14ac:dyDescent="0.25">
      <c r="A300" s="8">
        <v>299</v>
      </c>
    </row>
    <row r="301" spans="1:1" x14ac:dyDescent="0.25">
      <c r="A301" s="8">
        <v>300</v>
      </c>
    </row>
    <row r="302" spans="1:1" x14ac:dyDescent="0.25">
      <c r="A302" s="8">
        <v>301</v>
      </c>
    </row>
    <row r="303" spans="1:1" x14ac:dyDescent="0.25">
      <c r="A303" s="8">
        <v>302</v>
      </c>
    </row>
    <row r="304" spans="1:1" x14ac:dyDescent="0.25">
      <c r="A304" s="8">
        <v>303</v>
      </c>
    </row>
  </sheetData>
  <autoFilter ref="A1:L1" xr:uid="{F80A444E-4241-487B-9934-80B533A9ACE0}">
    <sortState xmlns:xlrd2="http://schemas.microsoft.com/office/spreadsheetml/2017/richdata2" ref="A2:L304">
      <sortCondition ref="D1"/>
    </sortState>
  </autoFilter>
  <hyperlinks>
    <hyperlink ref="K14" r:id="rId1" display="https://archi.ru/projects/russia/15285/koncepciya-razvitiya-gorodskogo-centra-g-gavrilov-posad" xr:uid="{DAE2F98C-38BC-4578-AA6E-13364B8EA902}"/>
    <hyperlink ref="K13" r:id="rId2" display="https://orchestra-design.com/ru/newtorg?ysclid=mk1c0uvxem49790376" xr:uid="{70B3E261-CB05-4F87-926D-1C0EDCD35452}"/>
    <hyperlink ref="K19" r:id="rId3" display="https://ai-arch.ru/projects/ploshhad-lenina-v-borovske/" xr:uid="{9ADCFEA4-0D7E-4922-8AD3-81175B3D3767}"/>
    <hyperlink ref="K20" r:id="rId4" display="https://pso-stp.ru/objects/blagoustroystvo-gorodskikh-rodnikov-i-ul-kravchenko-ot-ul-moskovskaya-do-reki-br?ysclid=mk1c8qt28f673398675" xr:uid="{EBFE86AC-69F5-4B1C-8D08-3ABEBE9DD739}"/>
    <hyperlink ref="K26" r:id="rId5" display="https://sota-buro.com/skver_imeni_bunina_i_skver_imeni_solomentsova" xr:uid="{0890727C-E406-4F9D-913E-E15F7BEFF3B7}"/>
    <hyperlink ref="K31" r:id="rId6" display="https://prorus.ru/projects/naberezhnaya-reki-klyazma-v-noginske/?ysclid=mk1cnynxri937448660" xr:uid="{7D1F1EE2-F787-4D62-92DE-414F38EF8701}"/>
    <hyperlink ref="K32" r:id="rId7" display="https://unit4.io/volokolamsk?ysclid=mk1cra3vfq704365441" xr:uid="{9403162F-6E64-4F47-AE60-13FB3796339E}"/>
    <hyperlink ref="K33" r:id="rId8" display="https://prorus.ru/projects/blagoustrojstvo-ul-aleksandra-nevskogov-egorevske/?ysclid=mk1cweky85432223587" xr:uid="{92C54F6F-33B8-4E41-B69F-5941A04087AF}"/>
    <hyperlink ref="K35" r:id="rId9" display="https://prorus.ru/projects/naberezhnaya-reki-osetr-i-blagoustroennye-skvery-v-zarajske/?ysclid=mk1d3pwgjc671458168" xr:uid="{BCE0A34C-FA6E-4613-A622-6427D4227BA2}"/>
    <hyperlink ref="K43" r:id="rId10" display="https://dzen.ru/a/YkwCppGwBlGDIGAD?ysclid=mk1d58wvm3499754704" xr:uid="{5D157DBE-27A8-4221-9163-18CD4211E660}"/>
    <hyperlink ref="K3" r:id="rId11" display="https://sota-buro.com/alekseevka" xr:uid="{AD3B5356-65C2-470F-A0E9-1AA3AC1BE41D}"/>
    <hyperlink ref="K8" r:id="rId12" display="https://mfour.ru/projects/novopark-v-voronezhe/?ysclid=mk1dko5xdf677317407" xr:uid="{1B1230C1-E557-41A8-9A9A-F8D687CFA7A4}"/>
    <hyperlink ref="K36" r:id="rId13" display="https://prorus.ru/projects/park-reka-vremeni-v-lobne/?ysclid=mk1dve0x6f308781859" xr:uid="{D624FFE5-89CA-4EE3-8390-E87906002425}"/>
    <hyperlink ref="K37" r:id="rId14" display="https://prorus.ru/projects/blagoustrojstvo-naberezhnoj-vdol-reki-terebenka-v-chehove/?ysclid=mk1dwbmxhk422172550" xr:uid="{124A4234-20CF-481B-BEA5-3078682C54FD}"/>
    <hyperlink ref="K38" r:id="rId15" display="https://www.ab-basis.com/projects/zvenigorod/?ysclid=mk1dxzuif537180275" xr:uid="{A751906C-99EF-4D26-AB07-CF42EAFC4BF4}"/>
    <hyperlink ref="K39" r:id="rId16" display="https://prorus.ru/projects/naberezhnaya-reki-klyazma-v-orehovo-zuevo/?ysclid=mk1e5dej5l544091969" xr:uid="{69D94355-6B0C-4084-B0E5-CCABFB460000}"/>
    <hyperlink ref="K40" r:id="rId17" display="https://dzen.ru/a/YwT7sjOnTm3GXHH8?ysclid=mk1e8e1oxb481680258" xr:uid="{8EAC9320-80F1-4051-AF4C-53675690A65C}"/>
    <hyperlink ref="K44" r:id="rId18" display="https://maloarhangelsk.ru/park-proekt/?ysclid=mk1ec4uqsf182401681" xr:uid="{F469BBFD-C991-4DD0-BB73-3A5FBF092FDA}"/>
    <hyperlink ref="L44" r:id="rId19" display="https://vk.com/wall-2197800_3553126?ysclid=mk1ee8n190529129372" xr:uid="{C07D5841-A588-4F29-A937-8FC0D62985FC}"/>
    <hyperlink ref="K45" r:id="rId20" display="https://vk.com/video-75903574_456286042?ysclid=mk1eev9cqr920820439" xr:uid="{6E2E8B84-848F-44BF-A9BF-BD4ADAA2C0B7}"/>
    <hyperlink ref="K46" r:id="rId21" display="https://болхов.орёл.рф/%D1%81%D0%B0%D0%B4-%D0%B3%D0%BE%D1%80%D0%BE%D0%B4%D0%BE%D0%BA/" xr:uid="{E7812E8B-561F-4170-B404-DAFC5A8E8AB6}"/>
    <hyperlink ref="K47" r:id="rId22" display="https://vk.com/wall-160847706_107?ysclid=mk1ei251b8600463948" xr:uid="{9FA45432-7D89-42C4-AC79-CAC36F873660}"/>
    <hyperlink ref="K50" r:id="rId23" display="https://nzemlya.com/velizh?ysclid=mk1eixsm24888038622" xr:uid="{05A00202-9DD3-46B6-B541-E117204EEFFB}"/>
    <hyperlink ref="L50" r:id="rId24" display="https://nzemlya.tilda.ws/velizh" xr:uid="{C559E015-C017-4458-8B53-C556398C8665}"/>
    <hyperlink ref="K55" r:id="rId25" xr:uid="{CD8C7FA2-80F0-4CA9-9DCA-54F5C986D8CE}"/>
    <hyperlink ref="K57" r:id="rId26" display="https://www.afanasy.biz/news/society/162449" xr:uid="{95CA5A98-1E9D-49A9-BBE1-7AED3B226A87}"/>
    <hyperlink ref="K61" r:id="rId27" display="https://1tulatv.ru/novosti-reportazhi/165343-lipki-restart-kak-zabroshennyy-park-prevrashchayut-v-mesto-prityazheniya/?ysclid=mk1snstkw1663902273" xr:uid="{721E42C6-010F-4C20-8522-06C789C94C5E}"/>
    <hyperlink ref="K62" r:id="rId28" display="https://a618.studio/uzelok" xr:uid="{71C11080-E377-4B20-9C40-AD27DB5B95B9}"/>
    <hyperlink ref="K66" r:id="rId29" display="https://rg.ru/2023/04/18/reg-cfo/falsh-v-ispolnenii-proekta.html?ysclid=mk1st11r6k464215550" xr:uid="{A3698B35-75CB-48A2-A239-19390D2222B3}"/>
    <hyperlink ref="L66" r:id="rId30" display="https://1yar.tv/article/na-levom-beregu-v-tutaeve-nachali-blagoustraivat-naberejnuyu?ysclid=mk1ss8fp4h98148701" xr:uid="{4EF9C04B-007C-4B32-895B-AA10E23CF269}"/>
    <hyperlink ref="K2" r:id="rId31" display="https://vk.com/wall-178352367_24?ysclid=mk1t4vhum3126652158" xr:uid="{B0219E30-94E2-422E-AF5E-E153B50E6E09}"/>
    <hyperlink ref="K4" r:id="rId32" display="https://archi.ru/projects/russia/15545/blagoustroistvo-fatyanovskogo-parka-v-g-vyazniki" xr:uid="{87A83314-5D57-4696-8394-F54CB623DE2A}"/>
    <hyperlink ref="K5" r:id="rId33" display="https://archi.ru/projects/russia/15383/sozdanie-parka-krymskaya-gorka-v-g-novokhopersk" xr:uid="{C5708122-4593-449A-975D-9142BC6A24BA}"/>
    <hyperlink ref="L5" r:id="rId34" display="https://dzen.ru/a/ZlgIWgVepXYH8nQz?ysclid=mk1tnaeb21261279275" xr:uid="{D744127E-F5F2-45A1-8AD2-8FCC3F817BD0}"/>
    <hyperlink ref="M5" r:id="rId35" display="https://vestivrn.ru/news/2024/04/16/obshestvenniki-raskritikovali-obvetshavshii-park-za-54-milliona-v-novokhopyorske/?ysclid=mk1tnj8ams27312154" xr:uid="{70EBE82B-B3A2-4C9B-8566-6B6AF51E7AE3}"/>
    <hyperlink ref="K6" r:id="rId36" display="https://archi.ru/russia/100350/plach-zatmenie-i-gorodische" xr:uid="{F64C1B24-DD0F-4E00-AE50-20795D089CBE}"/>
    <hyperlink ref="L6" r:id="rId37" display="https://prorus.ru/projects/ehkopark-kayalov-bor-v-gorode-rossosh/?ysclid=mk1tp4czih736066730" xr:uid="{0CD11A8B-7795-41D4-97DB-894D6D2D7F85}"/>
    <hyperlink ref="K7" r:id="rId38" display="https://pavlovsk.riavrn.ru/news/novaya-zhemchuzhina-pod-voronezhem-kak-obustroili-vidovoe-mesto-odnogo-iz-luchshih-monogorodov-rossii/?ysclid=mk1tqria5a926537999" xr:uid="{EC33F20B-A848-4E4E-9922-1ADDDFA9385E}"/>
  </hyperlinks>
  <pageMargins left="0.7" right="0.7" top="0.75" bottom="0.75" header="0.3" footer="0.3"/>
  <pageSetup paperSize="9" orientation="portrait" r:id="rId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C271-0173-45FF-8B7A-5DDDD85CED0E}">
  <dimension ref="A1"/>
  <sheetViews>
    <sheetView workbookViewId="0">
      <selection activeCell="B29" sqref="B2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D85A-D586-4632-B397-3AE4524FFC8C}">
  <dimension ref="A1:I38"/>
  <sheetViews>
    <sheetView tabSelected="1" workbookViewId="0">
      <selection activeCell="J23" sqref="J23"/>
    </sheetView>
  </sheetViews>
  <sheetFormatPr defaultRowHeight="15" x14ac:dyDescent="0.25"/>
  <cols>
    <col min="1" max="2" width="15.7109375" style="2" customWidth="1"/>
    <col min="3" max="3" width="40.7109375" style="2" customWidth="1"/>
    <col min="4" max="4" width="8.7109375" style="139" customWidth="1"/>
    <col min="5" max="7" width="12.7109375" style="162" customWidth="1"/>
    <col min="8" max="8" width="20.7109375" style="138" customWidth="1"/>
  </cols>
  <sheetData>
    <row r="1" spans="1:9" ht="15.75" thickBot="1" x14ac:dyDescent="0.3">
      <c r="A1" s="148" t="s">
        <v>375</v>
      </c>
      <c r="B1" s="91" t="s">
        <v>389</v>
      </c>
      <c r="C1" s="149" t="s">
        <v>391</v>
      </c>
      <c r="D1" s="163" t="s">
        <v>390</v>
      </c>
      <c r="E1" s="161" t="s">
        <v>440</v>
      </c>
      <c r="F1" s="161" t="s">
        <v>441</v>
      </c>
      <c r="G1" s="161" t="s">
        <v>442</v>
      </c>
      <c r="H1" s="164" t="s">
        <v>400</v>
      </c>
      <c r="I1" s="160"/>
    </row>
    <row r="2" spans="1:9" x14ac:dyDescent="0.25">
      <c r="A2" s="216" t="s">
        <v>392</v>
      </c>
      <c r="B2" s="206" t="s">
        <v>350</v>
      </c>
      <c r="C2" s="141" t="s">
        <v>393</v>
      </c>
      <c r="D2" s="200">
        <v>1</v>
      </c>
      <c r="E2" s="216">
        <v>1.5</v>
      </c>
      <c r="F2" s="216">
        <v>1.1000000000000001</v>
      </c>
      <c r="G2" s="216">
        <v>1.5</v>
      </c>
      <c r="H2" s="154"/>
      <c r="I2" s="145"/>
    </row>
    <row r="3" spans="1:9" x14ac:dyDescent="0.25">
      <c r="A3" s="217"/>
      <c r="B3" s="207"/>
      <c r="C3" s="2" t="s">
        <v>394</v>
      </c>
      <c r="D3" s="201"/>
      <c r="E3" s="217"/>
      <c r="F3" s="217"/>
      <c r="G3" s="217"/>
      <c r="H3" s="54"/>
      <c r="I3" s="146"/>
    </row>
    <row r="4" spans="1:9" x14ac:dyDescent="0.25">
      <c r="A4" s="217"/>
      <c r="B4" s="207"/>
      <c r="C4" s="2" t="s">
        <v>395</v>
      </c>
      <c r="D4" s="201"/>
      <c r="E4" s="217"/>
      <c r="F4" s="217"/>
      <c r="G4" s="217"/>
      <c r="H4" s="54"/>
      <c r="I4" s="146"/>
    </row>
    <row r="5" spans="1:9" x14ac:dyDescent="0.25">
      <c r="A5" s="217"/>
      <c r="B5" s="207"/>
      <c r="C5" s="2" t="s">
        <v>396</v>
      </c>
      <c r="D5" s="201"/>
      <c r="E5" s="217"/>
      <c r="F5" s="217"/>
      <c r="G5" s="217"/>
      <c r="H5" s="54"/>
      <c r="I5" s="146"/>
    </row>
    <row r="6" spans="1:9" x14ac:dyDescent="0.25">
      <c r="A6" s="217"/>
      <c r="B6" s="207"/>
      <c r="C6" s="136" t="s">
        <v>397</v>
      </c>
      <c r="D6" s="201"/>
      <c r="E6" s="217"/>
      <c r="F6" s="217"/>
      <c r="G6" s="217"/>
      <c r="H6" s="54"/>
      <c r="I6" s="146"/>
    </row>
    <row r="7" spans="1:9" x14ac:dyDescent="0.25">
      <c r="A7" s="217"/>
      <c r="B7" s="207"/>
      <c r="C7" s="137" t="s">
        <v>398</v>
      </c>
      <c r="D7" s="201"/>
      <c r="E7" s="217"/>
      <c r="F7" s="217"/>
      <c r="G7" s="217"/>
      <c r="H7" s="54"/>
      <c r="I7" s="146"/>
    </row>
    <row r="8" spans="1:9" ht="15.75" thickBot="1" x14ac:dyDescent="0.3">
      <c r="A8" s="217"/>
      <c r="B8" s="208"/>
      <c r="C8" s="142" t="s">
        <v>399</v>
      </c>
      <c r="D8" s="202"/>
      <c r="E8" s="218"/>
      <c r="F8" s="218"/>
      <c r="G8" s="218"/>
      <c r="H8" s="155"/>
      <c r="I8" s="147"/>
    </row>
    <row r="9" spans="1:9" ht="15" customHeight="1" x14ac:dyDescent="0.25">
      <c r="A9" s="217"/>
      <c r="B9" s="209" t="s">
        <v>348</v>
      </c>
      <c r="C9" s="141" t="s">
        <v>401</v>
      </c>
      <c r="D9" s="200">
        <v>3</v>
      </c>
      <c r="E9" s="216">
        <v>1.2</v>
      </c>
      <c r="F9" s="216">
        <v>1.5</v>
      </c>
      <c r="G9" s="216">
        <v>1.3</v>
      </c>
      <c r="H9" s="154"/>
      <c r="I9" s="52"/>
    </row>
    <row r="10" spans="1:9" x14ac:dyDescent="0.25">
      <c r="A10" s="217"/>
      <c r="B10" s="210"/>
      <c r="C10" s="2" t="s">
        <v>402</v>
      </c>
      <c r="D10" s="201"/>
      <c r="E10" s="217"/>
      <c r="F10" s="217"/>
      <c r="G10" s="217"/>
      <c r="H10" s="54"/>
      <c r="I10" s="43"/>
    </row>
    <row r="11" spans="1:9" x14ac:dyDescent="0.25">
      <c r="A11" s="217"/>
      <c r="B11" s="210"/>
      <c r="C11" s="2" t="s">
        <v>403</v>
      </c>
      <c r="D11" s="201"/>
      <c r="E11" s="217"/>
      <c r="F11" s="217"/>
      <c r="G11" s="217"/>
      <c r="H11" s="54"/>
      <c r="I11" s="43"/>
    </row>
    <row r="12" spans="1:9" x14ac:dyDescent="0.25">
      <c r="A12" s="217"/>
      <c r="B12" s="210"/>
      <c r="C12" s="137" t="s">
        <v>404</v>
      </c>
      <c r="D12" s="201"/>
      <c r="E12" s="217"/>
      <c r="F12" s="217"/>
      <c r="G12" s="217"/>
      <c r="H12" s="54"/>
      <c r="I12" s="43"/>
    </row>
    <row r="13" spans="1:9" x14ac:dyDescent="0.25">
      <c r="A13" s="217"/>
      <c r="B13" s="210"/>
      <c r="C13" s="2" t="s">
        <v>405</v>
      </c>
      <c r="D13" s="201"/>
      <c r="E13" s="217"/>
      <c r="F13" s="217"/>
      <c r="G13" s="217"/>
      <c r="H13" s="54"/>
      <c r="I13" s="43"/>
    </row>
    <row r="14" spans="1:9" ht="15" customHeight="1" x14ac:dyDescent="0.25">
      <c r="A14" s="217"/>
      <c r="B14" s="210"/>
      <c r="C14" s="2" t="s">
        <v>406</v>
      </c>
      <c r="D14" s="201"/>
      <c r="E14" s="217"/>
      <c r="F14" s="217"/>
      <c r="G14" s="217"/>
      <c r="H14" s="54"/>
      <c r="I14" s="43"/>
    </row>
    <row r="15" spans="1:9" ht="15.75" thickBot="1" x14ac:dyDescent="0.3">
      <c r="A15" s="217"/>
      <c r="B15" s="211"/>
      <c r="C15" s="142" t="s">
        <v>407</v>
      </c>
      <c r="D15" s="202"/>
      <c r="E15" s="218"/>
      <c r="F15" s="218"/>
      <c r="G15" s="218"/>
      <c r="H15" s="155"/>
      <c r="I15" s="43"/>
    </row>
    <row r="16" spans="1:9" ht="15" customHeight="1" x14ac:dyDescent="0.25">
      <c r="A16" s="217"/>
      <c r="B16" s="212" t="s">
        <v>349</v>
      </c>
      <c r="C16" s="143" t="s">
        <v>408</v>
      </c>
      <c r="D16" s="200">
        <v>1</v>
      </c>
      <c r="E16" s="216">
        <v>0.8</v>
      </c>
      <c r="F16" s="216">
        <v>1.2</v>
      </c>
      <c r="G16" s="216">
        <v>0.7</v>
      </c>
      <c r="H16" s="154"/>
      <c r="I16" s="43"/>
    </row>
    <row r="17" spans="1:9" ht="15.75" thickBot="1" x14ac:dyDescent="0.3">
      <c r="A17" s="217"/>
      <c r="B17" s="213"/>
      <c r="C17" s="142" t="s">
        <v>409</v>
      </c>
      <c r="D17" s="202"/>
      <c r="E17" s="218"/>
      <c r="F17" s="218"/>
      <c r="G17" s="218"/>
      <c r="H17" s="155"/>
      <c r="I17" s="43"/>
    </row>
    <row r="18" spans="1:9" ht="15" customHeight="1" x14ac:dyDescent="0.25">
      <c r="A18" s="217"/>
      <c r="B18" s="209" t="s">
        <v>410</v>
      </c>
      <c r="C18" s="141" t="s">
        <v>411</v>
      </c>
      <c r="D18" s="200">
        <v>2</v>
      </c>
      <c r="E18" s="216">
        <v>0.8</v>
      </c>
      <c r="F18" s="216">
        <v>1.4</v>
      </c>
      <c r="G18" s="216">
        <v>1.5</v>
      </c>
      <c r="H18" s="154"/>
      <c r="I18" s="43"/>
    </row>
    <row r="19" spans="1:9" x14ac:dyDescent="0.25">
      <c r="A19" s="217"/>
      <c r="B19" s="210"/>
      <c r="C19" s="2" t="s">
        <v>412</v>
      </c>
      <c r="D19" s="201"/>
      <c r="E19" s="217"/>
      <c r="F19" s="217"/>
      <c r="G19" s="217"/>
      <c r="H19" s="54"/>
      <c r="I19" s="43"/>
    </row>
    <row r="20" spans="1:9" x14ac:dyDescent="0.25">
      <c r="A20" s="217"/>
      <c r="B20" s="210"/>
      <c r="C20" s="2" t="s">
        <v>413</v>
      </c>
      <c r="D20" s="201"/>
      <c r="E20" s="217"/>
      <c r="F20" s="217"/>
      <c r="G20" s="217"/>
      <c r="H20" s="54"/>
      <c r="I20" s="43"/>
    </row>
    <row r="21" spans="1:9" ht="15.75" thickBot="1" x14ac:dyDescent="0.3">
      <c r="A21" s="217"/>
      <c r="B21" s="211"/>
      <c r="C21" s="142" t="s">
        <v>414</v>
      </c>
      <c r="D21" s="202"/>
      <c r="E21" s="218"/>
      <c r="F21" s="218"/>
      <c r="G21" s="218"/>
      <c r="H21" s="155"/>
      <c r="I21" s="43"/>
    </row>
    <row r="22" spans="1:9" x14ac:dyDescent="0.25">
      <c r="A22" s="217"/>
      <c r="B22" s="203" t="s">
        <v>415</v>
      </c>
      <c r="C22" s="141" t="s">
        <v>416</v>
      </c>
      <c r="D22" s="200">
        <v>2</v>
      </c>
      <c r="E22" s="216">
        <v>1.3</v>
      </c>
      <c r="F22" s="216">
        <v>0.6</v>
      </c>
      <c r="G22" s="216">
        <v>1</v>
      </c>
      <c r="H22" s="154"/>
      <c r="I22" s="43"/>
    </row>
    <row r="23" spans="1:9" x14ac:dyDescent="0.25">
      <c r="A23" s="217"/>
      <c r="B23" s="204"/>
      <c r="C23" s="2" t="s">
        <v>417</v>
      </c>
      <c r="D23" s="201"/>
      <c r="E23" s="217"/>
      <c r="F23" s="217"/>
      <c r="G23" s="217"/>
      <c r="H23" s="54"/>
      <c r="I23" s="43"/>
    </row>
    <row r="24" spans="1:9" ht="15" customHeight="1" thickBot="1" x14ac:dyDescent="0.3">
      <c r="A24" s="217"/>
      <c r="B24" s="205"/>
      <c r="C24" s="142" t="s">
        <v>418</v>
      </c>
      <c r="D24" s="202"/>
      <c r="E24" s="218"/>
      <c r="F24" s="218"/>
      <c r="G24" s="218"/>
      <c r="H24" s="155"/>
      <c r="I24" s="43"/>
    </row>
    <row r="25" spans="1:9" x14ac:dyDescent="0.25">
      <c r="A25" s="217"/>
      <c r="B25" s="209" t="s">
        <v>419</v>
      </c>
      <c r="C25" s="144" t="s">
        <v>420</v>
      </c>
      <c r="D25" s="200">
        <v>1</v>
      </c>
      <c r="E25" s="216">
        <v>1.4</v>
      </c>
      <c r="F25" s="216">
        <v>0.7</v>
      </c>
      <c r="G25" s="216">
        <v>1.2</v>
      </c>
      <c r="H25" s="154"/>
      <c r="I25" s="43"/>
    </row>
    <row r="26" spans="1:9" x14ac:dyDescent="0.25">
      <c r="A26" s="217"/>
      <c r="B26" s="210"/>
      <c r="C26" s="2" t="s">
        <v>421</v>
      </c>
      <c r="D26" s="201"/>
      <c r="E26" s="217"/>
      <c r="F26" s="217"/>
      <c r="G26" s="217"/>
      <c r="H26" s="54"/>
      <c r="I26" s="43"/>
    </row>
    <row r="27" spans="1:9" x14ac:dyDescent="0.25">
      <c r="A27" s="217"/>
      <c r="B27" s="210"/>
      <c r="C27" s="2" t="s">
        <v>422</v>
      </c>
      <c r="D27" s="201"/>
      <c r="E27" s="217"/>
      <c r="F27" s="217"/>
      <c r="G27" s="217"/>
      <c r="H27" s="54"/>
      <c r="I27" s="43"/>
    </row>
    <row r="28" spans="1:9" ht="15.75" thickBot="1" x14ac:dyDescent="0.3">
      <c r="A28" s="217"/>
      <c r="B28" s="211"/>
      <c r="C28" s="142" t="s">
        <v>423</v>
      </c>
      <c r="D28" s="202"/>
      <c r="E28" s="218"/>
      <c r="F28" s="218"/>
      <c r="G28" s="218"/>
      <c r="H28" s="155"/>
      <c r="I28" s="43"/>
    </row>
    <row r="29" spans="1:9" x14ac:dyDescent="0.25">
      <c r="A29" s="217"/>
      <c r="B29" s="214" t="s">
        <v>424</v>
      </c>
      <c r="C29" s="143" t="s">
        <v>425</v>
      </c>
      <c r="D29" s="200">
        <v>2</v>
      </c>
      <c r="E29" s="216">
        <v>1.6</v>
      </c>
      <c r="F29" s="216">
        <v>0.8</v>
      </c>
      <c r="G29" s="216">
        <v>1.2</v>
      </c>
      <c r="H29" s="154"/>
      <c r="I29" s="43"/>
    </row>
    <row r="30" spans="1:9" ht="15.75" thickBot="1" x14ac:dyDescent="0.3">
      <c r="A30" s="217"/>
      <c r="B30" s="215"/>
      <c r="C30" s="150" t="s">
        <v>426</v>
      </c>
      <c r="D30" s="201"/>
      <c r="E30" s="217"/>
      <c r="F30" s="217"/>
      <c r="G30" s="217"/>
      <c r="H30" s="165"/>
      <c r="I30" s="43"/>
    </row>
    <row r="31" spans="1:9" x14ac:dyDescent="0.25">
      <c r="A31" s="222"/>
      <c r="B31" s="219" t="s">
        <v>446</v>
      </c>
      <c r="C31" s="141" t="s">
        <v>443</v>
      </c>
      <c r="D31" s="224">
        <v>1</v>
      </c>
      <c r="E31" s="216">
        <v>0.7</v>
      </c>
      <c r="F31" s="216">
        <v>1.3</v>
      </c>
      <c r="G31" s="216">
        <v>1.4</v>
      </c>
      <c r="H31" s="154"/>
      <c r="I31" s="43"/>
    </row>
    <row r="32" spans="1:9" x14ac:dyDescent="0.25">
      <c r="A32" s="222"/>
      <c r="B32" s="220"/>
      <c r="C32" s="2" t="s">
        <v>444</v>
      </c>
      <c r="D32" s="225"/>
      <c r="E32" s="217"/>
      <c r="F32" s="217"/>
      <c r="G32" s="217"/>
      <c r="H32" s="54"/>
      <c r="I32" s="43"/>
    </row>
    <row r="33" spans="1:9" ht="15.75" thickBot="1" x14ac:dyDescent="0.3">
      <c r="A33" s="223"/>
      <c r="B33" s="221"/>
      <c r="C33" s="142" t="s">
        <v>445</v>
      </c>
      <c r="D33" s="226"/>
      <c r="E33" s="218"/>
      <c r="F33" s="218"/>
      <c r="G33" s="218"/>
      <c r="H33" s="155"/>
      <c r="I33" s="43"/>
    </row>
    <row r="34" spans="1:9" x14ac:dyDescent="0.25">
      <c r="A34" s="197" t="s">
        <v>427</v>
      </c>
      <c r="B34" s="210" t="s">
        <v>428</v>
      </c>
      <c r="C34" s="5" t="s">
        <v>429</v>
      </c>
      <c r="D34" s="152">
        <v>1</v>
      </c>
      <c r="E34" s="217">
        <v>1</v>
      </c>
      <c r="F34" s="217">
        <v>1</v>
      </c>
      <c r="G34" s="217">
        <v>1</v>
      </c>
      <c r="H34" s="53"/>
      <c r="I34" s="43"/>
    </row>
    <row r="35" spans="1:9" ht="75.75" thickBot="1" x14ac:dyDescent="0.3">
      <c r="A35" s="198"/>
      <c r="B35" s="211"/>
      <c r="C35" s="142" t="s">
        <v>430</v>
      </c>
      <c r="D35" s="153">
        <v>0.75</v>
      </c>
      <c r="E35" s="218"/>
      <c r="F35" s="218"/>
      <c r="G35" s="218"/>
      <c r="H35" s="166" t="s">
        <v>431</v>
      </c>
      <c r="I35" s="43"/>
    </row>
    <row r="36" spans="1:9" x14ac:dyDescent="0.25">
      <c r="A36" s="198"/>
      <c r="B36" s="209" t="s">
        <v>432</v>
      </c>
      <c r="C36" s="141" t="s">
        <v>429</v>
      </c>
      <c r="D36" s="151">
        <v>1</v>
      </c>
      <c r="E36" s="216">
        <v>1</v>
      </c>
      <c r="F36" s="216">
        <v>1</v>
      </c>
      <c r="G36" s="216">
        <v>1</v>
      </c>
      <c r="H36" s="154"/>
      <c r="I36" s="43"/>
    </row>
    <row r="37" spans="1:9" ht="15.75" thickBot="1" x14ac:dyDescent="0.3">
      <c r="A37" s="199"/>
      <c r="B37" s="211"/>
      <c r="C37" s="142" t="s">
        <v>430</v>
      </c>
      <c r="D37" s="153">
        <v>0.5</v>
      </c>
      <c r="E37" s="218"/>
      <c r="F37" s="218"/>
      <c r="G37" s="218"/>
      <c r="H37" s="155"/>
      <c r="I37" s="43"/>
    </row>
    <row r="38" spans="1:9" x14ac:dyDescent="0.25">
      <c r="A38" s="5"/>
      <c r="B38" s="5"/>
      <c r="C38" s="5"/>
      <c r="D38" s="140"/>
      <c r="H38" s="159"/>
    </row>
  </sheetData>
  <mergeCells count="50">
    <mergeCell ref="B31:B33"/>
    <mergeCell ref="A2:A33"/>
    <mergeCell ref="D31:D33"/>
    <mergeCell ref="F31:F33"/>
    <mergeCell ref="E31:E33"/>
    <mergeCell ref="E29:E30"/>
    <mergeCell ref="F29:F30"/>
    <mergeCell ref="E22:E24"/>
    <mergeCell ref="F25:F28"/>
    <mergeCell ref="G25:G28"/>
    <mergeCell ref="E36:E37"/>
    <mergeCell ref="F36:F37"/>
    <mergeCell ref="G36:G37"/>
    <mergeCell ref="G31:G33"/>
    <mergeCell ref="G29:G30"/>
    <mergeCell ref="E34:E35"/>
    <mergeCell ref="F34:F35"/>
    <mergeCell ref="G34:G35"/>
    <mergeCell ref="B34:B35"/>
    <mergeCell ref="E2:E8"/>
    <mergeCell ref="F2:F8"/>
    <mergeCell ref="G2:G8"/>
    <mergeCell ref="E9:E15"/>
    <mergeCell ref="F9:F15"/>
    <mergeCell ref="G9:G15"/>
    <mergeCell ref="E16:E17"/>
    <mergeCell ref="F16:F17"/>
    <mergeCell ref="G16:G17"/>
    <mergeCell ref="E18:E21"/>
    <mergeCell ref="F18:F21"/>
    <mergeCell ref="G18:G21"/>
    <mergeCell ref="F22:F24"/>
    <mergeCell ref="G22:G24"/>
    <mergeCell ref="E25:E28"/>
    <mergeCell ref="A34:A37"/>
    <mergeCell ref="D2:D8"/>
    <mergeCell ref="D9:D15"/>
    <mergeCell ref="D16:D17"/>
    <mergeCell ref="D18:D21"/>
    <mergeCell ref="B22:B24"/>
    <mergeCell ref="D22:D24"/>
    <mergeCell ref="B2:B8"/>
    <mergeCell ref="B9:B15"/>
    <mergeCell ref="B16:B17"/>
    <mergeCell ref="B18:B21"/>
    <mergeCell ref="B25:B28"/>
    <mergeCell ref="D25:D28"/>
    <mergeCell ref="B29:B30"/>
    <mergeCell ref="D29:D30"/>
    <mergeCell ref="B36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8355-B14E-4301-8455-2CC431ED96CA}">
  <dimension ref="A1:BX24"/>
  <sheetViews>
    <sheetView topLeftCell="F1" zoomScaleNormal="100" workbookViewId="0">
      <selection activeCell="A20" sqref="A20:XFD20"/>
    </sheetView>
  </sheetViews>
  <sheetFormatPr defaultRowHeight="15" x14ac:dyDescent="0.25"/>
  <cols>
    <col min="1" max="1" width="5.7109375" style="41" customWidth="1"/>
    <col min="2" max="2" width="15.7109375" style="44" customWidth="1"/>
    <col min="3" max="3" width="20.140625" style="2" customWidth="1"/>
    <col min="4" max="4" width="35.7109375" style="2" customWidth="1"/>
    <col min="5" max="5" width="16.7109375" style="2" customWidth="1"/>
    <col min="6" max="7" width="12.7109375" style="2" customWidth="1"/>
    <col min="8" max="8" width="20.5703125" style="45" customWidth="1"/>
    <col min="9" max="9" width="9.140625" style="67"/>
    <col min="10" max="12" width="9.140625" style="92"/>
    <col min="13" max="13" width="9.140625" style="68"/>
    <col min="14" max="14" width="9.140625" style="82"/>
    <col min="15" max="18" width="9.140625" style="94"/>
    <col min="19" max="19" width="9.140625" style="97"/>
    <col min="20" max="20" width="9.140625" style="68"/>
    <col min="21" max="21" width="9.140625" style="67"/>
    <col min="22" max="24" width="9.140625" style="92"/>
    <col min="25" max="25" width="9.140625" style="68"/>
    <col min="26" max="26" width="9.140625" style="82"/>
    <col min="27" max="29" width="9.140625" style="94"/>
    <col min="30" max="30" width="9.140625" style="68"/>
    <col min="31" max="31" width="9.140625" style="67"/>
    <col min="32" max="32" width="9.140625" style="82"/>
    <col min="33" max="33" width="9.140625" style="75"/>
    <col min="34" max="34" width="9.140625" style="76"/>
    <col min="35" max="35" width="9.140625" style="69"/>
    <col min="36" max="38" width="9.140625" style="98"/>
    <col min="39" max="39" width="9.140625" style="70"/>
    <col min="40" max="40" width="9.140625" style="131"/>
    <col min="41" max="43" width="9.140625" style="98"/>
    <col min="44" max="44" width="9.140625" style="70"/>
    <col min="45" max="45" width="9.140625" style="69"/>
    <col min="46" max="46" width="9.140625" style="133"/>
    <col min="47" max="47" width="9.140625" style="63"/>
    <col min="48" max="48" width="9.140625" style="64"/>
    <col min="49" max="49" width="9.140625" style="63"/>
    <col min="50" max="50" width="9.140625" style="64"/>
    <col min="51" max="51" width="9.140625" style="71"/>
    <col min="52" max="54" width="9.140625" style="101"/>
    <col min="55" max="55" width="9.140625" style="102"/>
    <col min="56" max="56" width="9.140625" style="71"/>
    <col min="57" max="59" width="9.140625" style="101"/>
    <col min="60" max="60" width="9.140625" style="72"/>
    <col min="61" max="61" width="9.140625" style="71"/>
    <col min="62" max="62" width="9.140625" style="135"/>
    <col min="63" max="63" width="9.140625" style="75"/>
    <col min="64" max="64" width="9.140625" style="76"/>
    <col min="65" max="65" width="9.140625" style="79"/>
    <col min="66" max="66" width="9.140625" style="80"/>
    <col min="67" max="67" width="9.140625" style="157"/>
    <col min="68" max="68" width="9.140625" style="44"/>
    <col min="69" max="69" width="9.140625" style="45"/>
    <col min="70" max="74" width="9.140625" style="54"/>
    <col min="75" max="75" width="9.140625" style="43"/>
    <col min="76" max="76" width="9.140625" style="2"/>
  </cols>
  <sheetData>
    <row r="1" spans="1:76" s="91" customFormat="1" ht="25.5" customHeight="1" thickBot="1" x14ac:dyDescent="0.3">
      <c r="A1" s="230" t="s">
        <v>0</v>
      </c>
      <c r="B1" s="227" t="s">
        <v>2</v>
      </c>
      <c r="C1" s="237" t="s">
        <v>10</v>
      </c>
      <c r="D1" s="237" t="s">
        <v>3</v>
      </c>
      <c r="E1" s="228" t="s">
        <v>375</v>
      </c>
      <c r="F1" s="233" t="s">
        <v>31</v>
      </c>
      <c r="G1" s="233" t="s">
        <v>32</v>
      </c>
      <c r="H1" s="234" t="s">
        <v>5</v>
      </c>
      <c r="I1" s="238" t="s">
        <v>350</v>
      </c>
      <c r="J1" s="239"/>
      <c r="K1" s="239"/>
      <c r="L1" s="239"/>
      <c r="M1" s="239"/>
      <c r="N1" s="239"/>
      <c r="O1" s="239"/>
      <c r="P1" s="239"/>
      <c r="Q1" s="239"/>
      <c r="R1" s="240"/>
      <c r="S1" s="238" t="s">
        <v>384</v>
      </c>
      <c r="T1" s="240"/>
      <c r="U1" s="239" t="s">
        <v>351</v>
      </c>
      <c r="V1" s="239"/>
      <c r="W1" s="239"/>
      <c r="X1" s="239"/>
      <c r="Y1" s="239"/>
      <c r="Z1" s="239"/>
      <c r="AA1" s="239"/>
      <c r="AB1" s="239"/>
      <c r="AC1" s="239"/>
      <c r="AD1" s="240"/>
      <c r="AE1" s="238" t="s">
        <v>386</v>
      </c>
      <c r="AF1" s="240"/>
      <c r="AG1" s="247" t="s">
        <v>352</v>
      </c>
      <c r="AH1" s="248"/>
      <c r="AI1" s="244" t="s">
        <v>353</v>
      </c>
      <c r="AJ1" s="245"/>
      <c r="AK1" s="245"/>
      <c r="AL1" s="245"/>
      <c r="AM1" s="245"/>
      <c r="AN1" s="245"/>
      <c r="AO1" s="245"/>
      <c r="AP1" s="245"/>
      <c r="AQ1" s="245"/>
      <c r="AR1" s="246"/>
      <c r="AS1" s="314" t="s">
        <v>387</v>
      </c>
      <c r="AT1" s="315"/>
      <c r="AU1" s="264" t="s">
        <v>354</v>
      </c>
      <c r="AV1" s="265"/>
      <c r="AW1" s="264" t="s">
        <v>355</v>
      </c>
      <c r="AX1" s="265"/>
      <c r="AY1" s="270" t="s">
        <v>356</v>
      </c>
      <c r="AZ1" s="271"/>
      <c r="BA1" s="271"/>
      <c r="BB1" s="271"/>
      <c r="BC1" s="271"/>
      <c r="BD1" s="271"/>
      <c r="BE1" s="271"/>
      <c r="BF1" s="271"/>
      <c r="BG1" s="271"/>
      <c r="BH1" s="272"/>
      <c r="BI1" s="270" t="s">
        <v>388</v>
      </c>
      <c r="BJ1" s="272"/>
      <c r="BK1" s="120" t="s">
        <v>357</v>
      </c>
      <c r="BL1" s="121"/>
      <c r="BM1" s="303" t="s">
        <v>439</v>
      </c>
      <c r="BN1" s="304"/>
      <c r="BO1" s="305"/>
      <c r="BP1" s="280" t="s">
        <v>360</v>
      </c>
      <c r="BQ1" s="281"/>
      <c r="BR1" s="294" t="s">
        <v>433</v>
      </c>
      <c r="BS1" s="258" t="s">
        <v>361</v>
      </c>
      <c r="BT1" s="258" t="s">
        <v>362</v>
      </c>
      <c r="BU1" s="261" t="s">
        <v>447</v>
      </c>
      <c r="BV1" s="258" t="s">
        <v>449</v>
      </c>
      <c r="BW1" s="297"/>
      <c r="BX1" s="300"/>
    </row>
    <row r="2" spans="1:76" s="90" customFormat="1" x14ac:dyDescent="0.25">
      <c r="A2" s="231"/>
      <c r="B2" s="228"/>
      <c r="C2" s="237"/>
      <c r="D2" s="237"/>
      <c r="E2" s="228"/>
      <c r="F2" s="228"/>
      <c r="G2" s="228"/>
      <c r="H2" s="235"/>
      <c r="I2" s="253" t="s">
        <v>358</v>
      </c>
      <c r="J2" s="254"/>
      <c r="K2" s="254"/>
      <c r="L2" s="254"/>
      <c r="M2" s="255"/>
      <c r="N2" s="253" t="s">
        <v>359</v>
      </c>
      <c r="O2" s="254"/>
      <c r="P2" s="254"/>
      <c r="Q2" s="254"/>
      <c r="R2" s="255"/>
      <c r="S2" s="306" t="s">
        <v>385</v>
      </c>
      <c r="T2" s="308" t="s">
        <v>359</v>
      </c>
      <c r="U2" s="253" t="s">
        <v>358</v>
      </c>
      <c r="V2" s="254"/>
      <c r="W2" s="254"/>
      <c r="X2" s="254"/>
      <c r="Y2" s="255"/>
      <c r="Z2" s="253" t="s">
        <v>359</v>
      </c>
      <c r="AA2" s="254"/>
      <c r="AB2" s="254"/>
      <c r="AC2" s="254"/>
      <c r="AD2" s="255"/>
      <c r="AE2" s="306" t="s">
        <v>385</v>
      </c>
      <c r="AF2" s="308" t="s">
        <v>359</v>
      </c>
      <c r="AG2" s="249" t="s">
        <v>358</v>
      </c>
      <c r="AH2" s="251" t="s">
        <v>359</v>
      </c>
      <c r="AI2" s="241" t="s">
        <v>358</v>
      </c>
      <c r="AJ2" s="242"/>
      <c r="AK2" s="242"/>
      <c r="AL2" s="242"/>
      <c r="AM2" s="243"/>
      <c r="AN2" s="241" t="s">
        <v>359</v>
      </c>
      <c r="AO2" s="242"/>
      <c r="AP2" s="242"/>
      <c r="AQ2" s="242"/>
      <c r="AR2" s="243"/>
      <c r="AS2" s="310" t="s">
        <v>358</v>
      </c>
      <c r="AT2" s="312" t="s">
        <v>359</v>
      </c>
      <c r="AU2" s="266" t="s">
        <v>358</v>
      </c>
      <c r="AV2" s="268" t="s">
        <v>359</v>
      </c>
      <c r="AW2" s="266" t="s">
        <v>358</v>
      </c>
      <c r="AX2" s="268" t="s">
        <v>359</v>
      </c>
      <c r="AY2" s="273" t="s">
        <v>358</v>
      </c>
      <c r="AZ2" s="274"/>
      <c r="BA2" s="274"/>
      <c r="BB2" s="274"/>
      <c r="BC2" s="275"/>
      <c r="BD2" s="273" t="s">
        <v>359</v>
      </c>
      <c r="BE2" s="274"/>
      <c r="BF2" s="274"/>
      <c r="BG2" s="274"/>
      <c r="BH2" s="275"/>
      <c r="BI2" s="288" t="s">
        <v>385</v>
      </c>
      <c r="BJ2" s="292" t="s">
        <v>359</v>
      </c>
      <c r="BK2" s="278" t="s">
        <v>358</v>
      </c>
      <c r="BL2" s="276" t="s">
        <v>359</v>
      </c>
      <c r="BM2" s="282" t="s">
        <v>358</v>
      </c>
      <c r="BN2" s="284" t="s">
        <v>359</v>
      </c>
      <c r="BO2" s="286" t="s">
        <v>448</v>
      </c>
      <c r="BP2" s="290" t="s">
        <v>358</v>
      </c>
      <c r="BQ2" s="256" t="s">
        <v>359</v>
      </c>
      <c r="BR2" s="295"/>
      <c r="BS2" s="259"/>
      <c r="BT2" s="259"/>
      <c r="BU2" s="262"/>
      <c r="BV2" s="259"/>
      <c r="BW2" s="298"/>
      <c r="BX2" s="301"/>
    </row>
    <row r="3" spans="1:76" ht="15.75" thickBot="1" x14ac:dyDescent="0.3">
      <c r="A3" s="232"/>
      <c r="B3" s="229"/>
      <c r="C3" s="237"/>
      <c r="D3" s="237"/>
      <c r="E3" s="229"/>
      <c r="F3" s="229"/>
      <c r="G3" s="229"/>
      <c r="H3" s="236"/>
      <c r="I3" s="117" t="s">
        <v>374</v>
      </c>
      <c r="J3" s="118" t="s">
        <v>370</v>
      </c>
      <c r="K3" s="118" t="s">
        <v>371</v>
      </c>
      <c r="L3" s="118" t="s">
        <v>372</v>
      </c>
      <c r="M3" s="119" t="s">
        <v>373</v>
      </c>
      <c r="N3" s="117" t="s">
        <v>374</v>
      </c>
      <c r="O3" s="118" t="s">
        <v>370</v>
      </c>
      <c r="P3" s="118" t="s">
        <v>371</v>
      </c>
      <c r="Q3" s="118" t="s">
        <v>372</v>
      </c>
      <c r="R3" s="126" t="s">
        <v>373</v>
      </c>
      <c r="S3" s="307"/>
      <c r="T3" s="309"/>
      <c r="U3" s="117" t="s">
        <v>374</v>
      </c>
      <c r="V3" s="118" t="s">
        <v>370</v>
      </c>
      <c r="W3" s="118" t="s">
        <v>371</v>
      </c>
      <c r="X3" s="118" t="s">
        <v>372</v>
      </c>
      <c r="Y3" s="119" t="s">
        <v>373</v>
      </c>
      <c r="Z3" s="127" t="s">
        <v>374</v>
      </c>
      <c r="AA3" s="118" t="s">
        <v>370</v>
      </c>
      <c r="AB3" s="118" t="s">
        <v>371</v>
      </c>
      <c r="AC3" s="118" t="s">
        <v>372</v>
      </c>
      <c r="AD3" s="119" t="s">
        <v>373</v>
      </c>
      <c r="AE3" s="307"/>
      <c r="AF3" s="309"/>
      <c r="AG3" s="250"/>
      <c r="AH3" s="252"/>
      <c r="AI3" s="114" t="s">
        <v>374</v>
      </c>
      <c r="AJ3" s="115" t="s">
        <v>370</v>
      </c>
      <c r="AK3" s="115" t="s">
        <v>371</v>
      </c>
      <c r="AL3" s="115" t="s">
        <v>372</v>
      </c>
      <c r="AM3" s="116" t="s">
        <v>373</v>
      </c>
      <c r="AN3" s="129" t="s">
        <v>374</v>
      </c>
      <c r="AO3" s="115" t="s">
        <v>370</v>
      </c>
      <c r="AP3" s="115" t="s">
        <v>371</v>
      </c>
      <c r="AQ3" s="115" t="s">
        <v>372</v>
      </c>
      <c r="AR3" s="116" t="s">
        <v>373</v>
      </c>
      <c r="AS3" s="311"/>
      <c r="AT3" s="313"/>
      <c r="AU3" s="267"/>
      <c r="AV3" s="269"/>
      <c r="AW3" s="267"/>
      <c r="AX3" s="269"/>
      <c r="AY3" s="111" t="s">
        <v>374</v>
      </c>
      <c r="AZ3" s="112" t="s">
        <v>370</v>
      </c>
      <c r="BA3" s="112" t="s">
        <v>371</v>
      </c>
      <c r="BB3" s="112" t="s">
        <v>372</v>
      </c>
      <c r="BC3" s="122" t="s">
        <v>373</v>
      </c>
      <c r="BD3" s="111" t="s">
        <v>374</v>
      </c>
      <c r="BE3" s="112" t="s">
        <v>370</v>
      </c>
      <c r="BF3" s="112" t="s">
        <v>371</v>
      </c>
      <c r="BG3" s="112" t="s">
        <v>372</v>
      </c>
      <c r="BH3" s="113" t="s">
        <v>373</v>
      </c>
      <c r="BI3" s="289"/>
      <c r="BJ3" s="293"/>
      <c r="BK3" s="279"/>
      <c r="BL3" s="277"/>
      <c r="BM3" s="283"/>
      <c r="BN3" s="285"/>
      <c r="BO3" s="287"/>
      <c r="BP3" s="291"/>
      <c r="BQ3" s="257"/>
      <c r="BR3" s="296"/>
      <c r="BS3" s="260"/>
      <c r="BT3" s="260"/>
      <c r="BU3" s="263"/>
      <c r="BV3" s="260"/>
      <c r="BW3" s="299"/>
      <c r="BX3" s="302"/>
    </row>
    <row r="4" spans="1:76" x14ac:dyDescent="0.25">
      <c r="A4" s="46">
        <v>1</v>
      </c>
      <c r="B4" s="85" t="s">
        <v>150</v>
      </c>
      <c r="C4" s="48" t="s">
        <v>151</v>
      </c>
      <c r="D4" s="49" t="s">
        <v>152</v>
      </c>
      <c r="E4" s="49" t="s">
        <v>436</v>
      </c>
      <c r="F4" s="47">
        <v>70</v>
      </c>
      <c r="G4" s="47">
        <v>70</v>
      </c>
      <c r="H4" s="86" t="s">
        <v>369</v>
      </c>
      <c r="I4" s="65">
        <v>0</v>
      </c>
      <c r="J4" s="95">
        <v>3</v>
      </c>
      <c r="K4" s="95">
        <v>0</v>
      </c>
      <c r="L4" s="95">
        <v>1</v>
      </c>
      <c r="M4" s="66">
        <v>0</v>
      </c>
      <c r="N4" s="96">
        <v>1</v>
      </c>
      <c r="O4" s="93">
        <v>3</v>
      </c>
      <c r="P4" s="93">
        <v>0</v>
      </c>
      <c r="Q4" s="93">
        <v>1</v>
      </c>
      <c r="R4" s="93">
        <v>0</v>
      </c>
      <c r="S4" s="65">
        <f>(Оценивание!I4+(J4*0.875)+(K4*0.75)+(L4*0.625)+(M4*0.5))*1.5</f>
        <v>4.875</v>
      </c>
      <c r="T4" s="128">
        <f>(N4+(O4*0.875)+(P4*0.75)+(Q4*0.625)+(R4*0.5))*1.5</f>
        <v>6.375</v>
      </c>
      <c r="U4" s="65">
        <v>0</v>
      </c>
      <c r="V4" s="83">
        <v>1</v>
      </c>
      <c r="W4" s="93">
        <v>3</v>
      </c>
      <c r="X4" s="93">
        <v>5</v>
      </c>
      <c r="Y4" s="66">
        <v>1</v>
      </c>
      <c r="Z4" s="84">
        <v>0</v>
      </c>
      <c r="AA4" s="83">
        <v>1</v>
      </c>
      <c r="AB4" s="93">
        <v>3</v>
      </c>
      <c r="AC4" s="93">
        <v>5</v>
      </c>
      <c r="AD4" s="66">
        <v>1</v>
      </c>
      <c r="AE4" s="65">
        <f>((U4+(V4*0.875)+(W4*0.75)+(X4*0.625)+(Y4*0.5))*3)*1.2</f>
        <v>24.3</v>
      </c>
      <c r="AF4" s="128">
        <f>((Z4+(AA4*0.875)+(AB4*0.75)+(AC4*0.625)+(AD4*0.5))*3)*1.2</f>
        <v>24.3</v>
      </c>
      <c r="AG4" s="190">
        <f>5*0.8</f>
        <v>4</v>
      </c>
      <c r="AH4" s="103">
        <f>5*0.8</f>
        <v>4</v>
      </c>
      <c r="AI4" s="107">
        <v>0</v>
      </c>
      <c r="AJ4" s="100">
        <v>2</v>
      </c>
      <c r="AK4" s="100">
        <v>0</v>
      </c>
      <c r="AL4" s="100">
        <v>2</v>
      </c>
      <c r="AM4" s="108">
        <v>1</v>
      </c>
      <c r="AN4" s="130">
        <v>2</v>
      </c>
      <c r="AO4" s="100">
        <v>2</v>
      </c>
      <c r="AP4" s="100">
        <v>2</v>
      </c>
      <c r="AQ4" s="100">
        <v>3</v>
      </c>
      <c r="AR4" s="108">
        <v>2</v>
      </c>
      <c r="AS4" s="107">
        <f>((AI4+(AJ4*0.875)+(AK4*0.75)+(AL4*0.625)+(AM4*0.5))*2)*0.8</f>
        <v>5.6000000000000005</v>
      </c>
      <c r="AT4" s="168">
        <f>((AN4+(AO4*0.875)+(AP4*0.75)+(AQ4*0.625)+(AR4*0.5))*2)*0.8</f>
        <v>13</v>
      </c>
      <c r="AU4" s="167">
        <f>4*1.3</f>
        <v>5.2</v>
      </c>
      <c r="AV4" s="99">
        <f>4*1.3</f>
        <v>5.2</v>
      </c>
      <c r="AW4" s="61">
        <v>1.4</v>
      </c>
      <c r="AX4" s="62">
        <v>1.4</v>
      </c>
      <c r="AY4" s="109">
        <v>0</v>
      </c>
      <c r="AZ4" s="105">
        <v>0</v>
      </c>
      <c r="BA4" s="105">
        <v>3</v>
      </c>
      <c r="BB4" s="105">
        <v>5</v>
      </c>
      <c r="BC4" s="106">
        <v>2</v>
      </c>
      <c r="BD4" s="109">
        <v>1</v>
      </c>
      <c r="BE4" s="105">
        <v>0</v>
      </c>
      <c r="BF4" s="105">
        <v>3</v>
      </c>
      <c r="BG4" s="105">
        <v>5</v>
      </c>
      <c r="BH4" s="110">
        <v>2</v>
      </c>
      <c r="BI4" s="109">
        <f>((AY4+(AZ4*0.875)+(BA4*0.75)+(BB4*0.625)+(BC4*0.5))*2)*1.6</f>
        <v>20.400000000000002</v>
      </c>
      <c r="BJ4" s="134">
        <f>((BD4+(BE4*0.875)+(BF4*0.75)+(BG4*0.625)+(BH4*0.5))*2)*1.6</f>
        <v>23.6</v>
      </c>
      <c r="BK4" s="73">
        <v>0.66860357693344197</v>
      </c>
      <c r="BL4" s="74">
        <v>0.64758282282734458</v>
      </c>
      <c r="BM4" s="77">
        <v>23.5</v>
      </c>
      <c r="BN4" s="78">
        <v>41.1</v>
      </c>
      <c r="BO4" s="169">
        <f>BN4/(BM4*1.37)</f>
        <v>1.2765957446808511</v>
      </c>
      <c r="BP4" s="50">
        <f t="shared" ref="BP4:BP21" si="0">S4+AE4+AG4+AS4+(AU4*2)+AW4+BI4</f>
        <v>70.974999999999994</v>
      </c>
      <c r="BQ4" s="51">
        <f t="shared" ref="BQ4:BQ21" si="1">T4+AF4+AH4+AT4+(AV4*2)+AX4+BJ4</f>
        <v>83.074999999999989</v>
      </c>
      <c r="BR4" s="53">
        <f>BQ4-BP4</f>
        <v>12.099999999999994</v>
      </c>
      <c r="BS4" s="158">
        <f>(BR4-$BS$23)/($BS$24-$BS$23)</f>
        <v>0.27515633882887991</v>
      </c>
      <c r="BT4" s="158">
        <f t="shared" ref="BT4:BT21" si="2">BR4/G4</f>
        <v>0.17285714285714276</v>
      </c>
      <c r="BU4" s="158">
        <f>BT4/BO4</f>
        <v>0.13540476190476183</v>
      </c>
      <c r="BV4" s="53"/>
      <c r="BW4" s="43">
        <f t="shared" ref="BW4:BW21" si="3">BR4*BK4</f>
        <v>8.0901032808946436</v>
      </c>
      <c r="BX4" s="2">
        <f t="shared" ref="BX4:BX21" si="4">BR4*BL4</f>
        <v>7.8357521562108658</v>
      </c>
    </row>
    <row r="5" spans="1:76" x14ac:dyDescent="0.25">
      <c r="A5" s="41">
        <v>2</v>
      </c>
      <c r="B5" s="87" t="s">
        <v>153</v>
      </c>
      <c r="C5" s="28" t="s">
        <v>154</v>
      </c>
      <c r="D5" s="29" t="s">
        <v>155</v>
      </c>
      <c r="E5" s="29" t="s">
        <v>436</v>
      </c>
      <c r="F5" s="30">
        <v>45</v>
      </c>
      <c r="G5" s="30">
        <v>53.07</v>
      </c>
      <c r="H5" s="88" t="s">
        <v>289</v>
      </c>
      <c r="I5" s="67">
        <v>0</v>
      </c>
      <c r="J5" s="92">
        <v>0</v>
      </c>
      <c r="K5" s="92">
        <v>1</v>
      </c>
      <c r="L5" s="92">
        <v>1</v>
      </c>
      <c r="M5" s="68">
        <v>0</v>
      </c>
      <c r="N5" s="97">
        <v>0</v>
      </c>
      <c r="O5" s="94">
        <v>0</v>
      </c>
      <c r="P5" s="92">
        <v>1</v>
      </c>
      <c r="Q5" s="94">
        <v>1</v>
      </c>
      <c r="R5" s="94">
        <v>0</v>
      </c>
      <c r="S5" s="65">
        <f>(I5+(J5*0.875)+(K5*0.75)+(L5*0.625)+(M5*0.5))*1.5</f>
        <v>2.0625</v>
      </c>
      <c r="T5" s="128">
        <f t="shared" ref="T5:T6" si="5">(N5+(O5*0.875)+(P5*0.75)+(Q5*0.625)+(R5*0.5))*1.5</f>
        <v>2.0625</v>
      </c>
      <c r="U5" s="67">
        <v>0</v>
      </c>
      <c r="V5" s="94">
        <v>1</v>
      </c>
      <c r="W5" s="94">
        <v>4</v>
      </c>
      <c r="X5" s="94">
        <v>1</v>
      </c>
      <c r="Y5" s="68">
        <v>0</v>
      </c>
      <c r="Z5" s="82">
        <v>2</v>
      </c>
      <c r="AA5" s="94">
        <v>1</v>
      </c>
      <c r="AB5" s="94">
        <v>4</v>
      </c>
      <c r="AC5" s="94">
        <v>1</v>
      </c>
      <c r="AD5" s="68">
        <v>0</v>
      </c>
      <c r="AE5" s="65">
        <f t="shared" ref="AE5" si="6">((U5+(V5*0.875)+(W5*0.75)+(X5*0.625)+(Y5*0.5))*3)*1.2</f>
        <v>16.2</v>
      </c>
      <c r="AF5" s="128">
        <f t="shared" ref="AF5:AF6" si="7">((Z5+(AA5*0.875)+(AB5*0.75)+(AC5*0.625)+(AD5*0.5))*3)*1.2</f>
        <v>23.4</v>
      </c>
      <c r="AG5" s="75">
        <f>3*0.8</f>
        <v>2.4000000000000004</v>
      </c>
      <c r="AH5" s="104">
        <f>3*0.8</f>
        <v>2.4000000000000004</v>
      </c>
      <c r="AI5" s="69">
        <v>0</v>
      </c>
      <c r="AJ5" s="98">
        <v>0</v>
      </c>
      <c r="AK5" s="98">
        <v>3</v>
      </c>
      <c r="AL5" s="98">
        <v>2</v>
      </c>
      <c r="AM5" s="70">
        <v>0</v>
      </c>
      <c r="AN5" s="131">
        <v>0</v>
      </c>
      <c r="AO5" s="98">
        <v>0</v>
      </c>
      <c r="AP5" s="98">
        <v>4</v>
      </c>
      <c r="AQ5" s="98">
        <v>3</v>
      </c>
      <c r="AR5" s="70">
        <v>0</v>
      </c>
      <c r="AS5" s="107">
        <f t="shared" ref="AS5:AS6" si="8">((AI5+(AJ5*0.875)+(AK5*0.75)+(AL5*0.625)+(AM5*0.5))*2)*0.8</f>
        <v>5.6000000000000005</v>
      </c>
      <c r="AT5" s="168">
        <f t="shared" ref="AT5:AT6" si="9">((AN5+(AO5*0.875)+(AP5*0.75)+(AQ5*0.625)+(AR5*0.5))*2)*0.8</f>
        <v>7.8000000000000007</v>
      </c>
      <c r="AU5" s="63">
        <v>0</v>
      </c>
      <c r="AV5" s="64">
        <v>0</v>
      </c>
      <c r="AW5" s="63">
        <v>1.4</v>
      </c>
      <c r="AX5" s="64">
        <v>1.4</v>
      </c>
      <c r="AY5" s="71">
        <v>0</v>
      </c>
      <c r="AZ5" s="101">
        <v>1</v>
      </c>
      <c r="BA5" s="101">
        <v>1</v>
      </c>
      <c r="BB5" s="101">
        <v>3</v>
      </c>
      <c r="BC5" s="102">
        <v>0</v>
      </c>
      <c r="BD5" s="71">
        <v>1</v>
      </c>
      <c r="BE5" s="101">
        <v>1</v>
      </c>
      <c r="BF5" s="101">
        <v>1</v>
      </c>
      <c r="BG5" s="101">
        <v>3</v>
      </c>
      <c r="BH5" s="72">
        <v>0</v>
      </c>
      <c r="BI5" s="109">
        <f t="shared" ref="BI5:BI6" si="10">((AY5+(AZ5*0.875)+(BA5*0.75)+(BB5*0.625)+(BC5*0.5))*2)*1.6</f>
        <v>11.200000000000001</v>
      </c>
      <c r="BJ5" s="134">
        <f t="shared" ref="BJ5:BJ6" si="11">((BD5+(BE5*0.875)+(BF5*0.75)+(BG5*0.625)+(BH5*0.5))*2)*1.6</f>
        <v>14.4</v>
      </c>
      <c r="BM5" s="79">
        <v>26.2</v>
      </c>
      <c r="BN5" s="80">
        <v>43.9</v>
      </c>
      <c r="BO5" s="169">
        <f t="shared" ref="BO5:BO21" si="12">BN5/(BM5*1.37)</f>
        <v>1.2230456343678608</v>
      </c>
      <c r="BP5" s="50">
        <f t="shared" si="0"/>
        <v>38.862500000000004</v>
      </c>
      <c r="BQ5" s="51">
        <f t="shared" si="1"/>
        <v>51.462499999999991</v>
      </c>
      <c r="BR5" s="54">
        <f>BQ5-BP5</f>
        <v>12.599999999999987</v>
      </c>
      <c r="BS5" s="158">
        <f t="shared" ref="BS5:BS21" si="13">(BR5-$BS$23)/($BS$24-$BS$23)</f>
        <v>0.28652643547470125</v>
      </c>
      <c r="BT5" s="158">
        <f t="shared" si="2"/>
        <v>0.23742227247032197</v>
      </c>
      <c r="BU5" s="158">
        <f t="shared" ref="BU5:BU21" si="14">BT5/BO5</f>
        <v>0.19412380519475483</v>
      </c>
      <c r="BW5" s="43">
        <f t="shared" si="3"/>
        <v>0</v>
      </c>
      <c r="BX5" s="2">
        <f t="shared" si="4"/>
        <v>0</v>
      </c>
    </row>
    <row r="6" spans="1:76" x14ac:dyDescent="0.25">
      <c r="A6" s="41">
        <v>3</v>
      </c>
      <c r="B6" s="87" t="s">
        <v>156</v>
      </c>
      <c r="C6" s="28" t="s">
        <v>154</v>
      </c>
      <c r="D6" s="29" t="s">
        <v>157</v>
      </c>
      <c r="E6" s="29" t="s">
        <v>436</v>
      </c>
      <c r="F6" s="30">
        <v>90</v>
      </c>
      <c r="G6" s="30">
        <v>109.3</v>
      </c>
      <c r="H6" s="88" t="s">
        <v>290</v>
      </c>
      <c r="I6" s="67">
        <v>0</v>
      </c>
      <c r="J6" s="92">
        <v>1</v>
      </c>
      <c r="K6" s="92">
        <v>0</v>
      </c>
      <c r="L6" s="92">
        <v>0</v>
      </c>
      <c r="M6" s="68">
        <v>0</v>
      </c>
      <c r="N6" s="97">
        <v>2</v>
      </c>
      <c r="O6" s="94">
        <v>2</v>
      </c>
      <c r="P6" s="94">
        <v>1</v>
      </c>
      <c r="Q6" s="94">
        <v>1</v>
      </c>
      <c r="R6" s="94">
        <v>0</v>
      </c>
      <c r="S6" s="65">
        <f>(I6+(J6*0.875)+(K6*0.75)+(L6*0.625)+(M6*0.5))*1.5</f>
        <v>1.3125</v>
      </c>
      <c r="T6" s="128">
        <f t="shared" si="5"/>
        <v>7.6875</v>
      </c>
      <c r="U6" s="67">
        <v>0</v>
      </c>
      <c r="V6" s="92">
        <v>0</v>
      </c>
      <c r="W6" s="92">
        <v>0</v>
      </c>
      <c r="X6" s="92">
        <v>0</v>
      </c>
      <c r="Y6" s="68">
        <v>1</v>
      </c>
      <c r="Z6" s="82">
        <v>1</v>
      </c>
      <c r="AA6" s="94">
        <v>4</v>
      </c>
      <c r="AB6" s="94">
        <v>2</v>
      </c>
      <c r="AC6" s="94">
        <v>0</v>
      </c>
      <c r="AD6" s="68">
        <v>1</v>
      </c>
      <c r="AE6" s="65">
        <f>((U6+(V6*0.875)+(W6*0.75)+(X6*0.625)+(Y6*0.5))*3)*1.2</f>
        <v>1.7999999999999998</v>
      </c>
      <c r="AF6" s="128">
        <f t="shared" si="7"/>
        <v>23.4</v>
      </c>
      <c r="AG6" s="75">
        <v>0</v>
      </c>
      <c r="AH6" s="76">
        <v>0</v>
      </c>
      <c r="AI6" s="69">
        <v>0</v>
      </c>
      <c r="AJ6" s="98">
        <v>0</v>
      </c>
      <c r="AK6" s="98">
        <v>0</v>
      </c>
      <c r="AL6" s="98">
        <v>0</v>
      </c>
      <c r="AM6" s="70">
        <v>3</v>
      </c>
      <c r="AN6" s="131">
        <v>0</v>
      </c>
      <c r="AO6" s="98">
        <v>0</v>
      </c>
      <c r="AP6" s="98">
        <v>2</v>
      </c>
      <c r="AQ6" s="98">
        <v>0</v>
      </c>
      <c r="AR6" s="70">
        <v>3</v>
      </c>
      <c r="AS6" s="107">
        <f t="shared" si="8"/>
        <v>2.4000000000000004</v>
      </c>
      <c r="AT6" s="168">
        <f t="shared" si="9"/>
        <v>4.8000000000000007</v>
      </c>
      <c r="AU6" s="63">
        <v>1</v>
      </c>
      <c r="AV6" s="64">
        <v>2</v>
      </c>
      <c r="AW6" s="63">
        <v>0</v>
      </c>
      <c r="AX6" s="64">
        <f>4*1.4</f>
        <v>5.6</v>
      </c>
      <c r="AY6" s="71">
        <v>0</v>
      </c>
      <c r="AZ6" s="101">
        <v>0</v>
      </c>
      <c r="BA6" s="101">
        <v>0</v>
      </c>
      <c r="BB6" s="101">
        <v>0</v>
      </c>
      <c r="BC6" s="102">
        <v>0</v>
      </c>
      <c r="BD6" s="71">
        <v>1</v>
      </c>
      <c r="BE6" s="101">
        <v>1</v>
      </c>
      <c r="BF6" s="101">
        <v>0</v>
      </c>
      <c r="BG6" s="101">
        <v>0</v>
      </c>
      <c r="BH6" s="72">
        <v>0</v>
      </c>
      <c r="BI6" s="109">
        <f t="shared" si="10"/>
        <v>0</v>
      </c>
      <c r="BJ6" s="134">
        <f t="shared" si="11"/>
        <v>6</v>
      </c>
      <c r="BM6" s="79">
        <v>26.2</v>
      </c>
      <c r="BN6" s="80">
        <v>43.9</v>
      </c>
      <c r="BO6" s="169">
        <f t="shared" si="12"/>
        <v>1.2230456343678608</v>
      </c>
      <c r="BP6" s="50">
        <f t="shared" si="0"/>
        <v>7.5125000000000002</v>
      </c>
      <c r="BQ6" s="51">
        <f t="shared" si="1"/>
        <v>51.487500000000004</v>
      </c>
      <c r="BR6" s="54">
        <f t="shared" ref="BR6:BR21" si="15">BQ6-BP6</f>
        <v>43.975000000000001</v>
      </c>
      <c r="BS6" s="158">
        <f t="shared" si="13"/>
        <v>1</v>
      </c>
      <c r="BT6" s="158">
        <f t="shared" si="2"/>
        <v>0.40233302836230561</v>
      </c>
      <c r="BU6" s="158">
        <f t="shared" si="14"/>
        <v>0.32895994806461498</v>
      </c>
      <c r="BW6" s="43">
        <f t="shared" si="3"/>
        <v>0</v>
      </c>
      <c r="BX6" s="2">
        <f t="shared" si="4"/>
        <v>0</v>
      </c>
    </row>
    <row r="7" spans="1:76" ht="38.25" x14ac:dyDescent="0.25">
      <c r="A7" s="41">
        <v>4</v>
      </c>
      <c r="B7" s="87" t="s">
        <v>163</v>
      </c>
      <c r="C7" s="28" t="s">
        <v>161</v>
      </c>
      <c r="D7" s="29" t="s">
        <v>164</v>
      </c>
      <c r="E7" s="29" t="s">
        <v>437</v>
      </c>
      <c r="F7" s="30">
        <v>70</v>
      </c>
      <c r="G7" s="30">
        <v>70</v>
      </c>
      <c r="H7" s="89" t="s">
        <v>293</v>
      </c>
      <c r="I7" s="175">
        <v>2</v>
      </c>
      <c r="J7" s="124">
        <v>1</v>
      </c>
      <c r="K7" s="124">
        <v>0</v>
      </c>
      <c r="L7" s="124">
        <v>0</v>
      </c>
      <c r="M7" s="176">
        <v>0</v>
      </c>
      <c r="N7" s="171">
        <v>4</v>
      </c>
      <c r="O7" s="172">
        <v>1</v>
      </c>
      <c r="P7" s="172">
        <v>0</v>
      </c>
      <c r="Q7" s="172">
        <v>0</v>
      </c>
      <c r="R7" s="172">
        <v>0</v>
      </c>
      <c r="S7" s="173">
        <f>(I7+(J7*0.875)+(K7*0.75)+(L7*0.625)+(M7*0.5))*1.1</f>
        <v>3.1625000000000001</v>
      </c>
      <c r="T7" s="174">
        <f>(N7+(O7*0.875)+(P7*0.75)+(Q7*0.625)+(R7*0.5))*1.1</f>
        <v>5.3625000000000007</v>
      </c>
      <c r="U7" s="175">
        <v>8</v>
      </c>
      <c r="V7" s="124">
        <v>1</v>
      </c>
      <c r="W7" s="124">
        <v>0</v>
      </c>
      <c r="X7" s="124">
        <v>1</v>
      </c>
      <c r="Y7" s="176">
        <v>0</v>
      </c>
      <c r="Z7" s="177">
        <v>11</v>
      </c>
      <c r="AA7" s="172">
        <v>1</v>
      </c>
      <c r="AB7" s="172">
        <v>0</v>
      </c>
      <c r="AC7" s="172">
        <v>1</v>
      </c>
      <c r="AD7" s="176">
        <v>0</v>
      </c>
      <c r="AE7" s="173">
        <f>((U7+(V7*0.875)+(W7*0.75)+(X7*0.625)+(Y7*0.5))*3)*1.5</f>
        <v>42.75</v>
      </c>
      <c r="AF7" s="174">
        <f>((Z7+(AA7*0.875)+(AB7*0.75)+(AC7*0.625)+(AD7*0.5))*3)*1.5</f>
        <v>56.25</v>
      </c>
      <c r="AG7" s="75">
        <f>5*1.2</f>
        <v>6</v>
      </c>
      <c r="AH7" s="76">
        <v>6</v>
      </c>
      <c r="AI7" s="175">
        <v>4</v>
      </c>
      <c r="AJ7" s="124">
        <v>3</v>
      </c>
      <c r="AK7" s="124">
        <v>0</v>
      </c>
      <c r="AL7" s="124">
        <v>0</v>
      </c>
      <c r="AM7" s="176">
        <v>0</v>
      </c>
      <c r="AN7" s="178">
        <v>9</v>
      </c>
      <c r="AO7" s="124">
        <v>1</v>
      </c>
      <c r="AP7" s="124">
        <v>0</v>
      </c>
      <c r="AQ7" s="124">
        <v>0</v>
      </c>
      <c r="AR7" s="176">
        <v>0</v>
      </c>
      <c r="AS7" s="173">
        <f>((AI7+(AJ7*0.875)+(AK7*0.75)+(AL7*0.625)+(AM7*0.5))*2)*1.4</f>
        <v>18.549999999999997</v>
      </c>
      <c r="AT7" s="174">
        <f>((AN7+(AO7*0.875)+(AP7*0.75)+(AQ7*0.625)+(AR7*0.5))*2)*1.4</f>
        <v>27.65</v>
      </c>
      <c r="AU7" s="175">
        <f>2*0.6</f>
        <v>1.2</v>
      </c>
      <c r="AV7" s="176">
        <v>1.2</v>
      </c>
      <c r="AW7" s="175">
        <f>20*0.7</f>
        <v>14</v>
      </c>
      <c r="AX7" s="176">
        <v>14</v>
      </c>
      <c r="AY7" s="175">
        <v>5</v>
      </c>
      <c r="AZ7" s="124">
        <v>2</v>
      </c>
      <c r="BA7" s="124">
        <v>2</v>
      </c>
      <c r="BB7" s="124">
        <v>0</v>
      </c>
      <c r="BC7" s="172">
        <v>1</v>
      </c>
      <c r="BD7" s="175">
        <v>6</v>
      </c>
      <c r="BE7" s="124">
        <v>2</v>
      </c>
      <c r="BF7" s="124">
        <v>2</v>
      </c>
      <c r="BG7" s="124">
        <v>0</v>
      </c>
      <c r="BH7" s="176">
        <v>1</v>
      </c>
      <c r="BI7" s="173">
        <f>((AY7+(AZ7*0.875)+(BA7*0.75)+(BB7*0.625)+(BC7*0.5))*2)*0.8</f>
        <v>14</v>
      </c>
      <c r="BJ7" s="174">
        <f>((BD7+(BE7*0.875)+(BF7*0.75)+(BG7*0.625)+(BH7*0.5))*2)*0.8</f>
        <v>15.600000000000001</v>
      </c>
      <c r="BK7" s="175"/>
      <c r="BL7" s="176"/>
      <c r="BM7" s="175">
        <v>24.9</v>
      </c>
      <c r="BN7" s="176">
        <v>39.200000000000003</v>
      </c>
      <c r="BO7" s="179">
        <f t="shared" si="12"/>
        <v>1.149122035587606</v>
      </c>
      <c r="BP7" s="50">
        <f t="shared" si="0"/>
        <v>100.86250000000001</v>
      </c>
      <c r="BQ7" s="51">
        <f t="shared" si="1"/>
        <v>127.26249999999999</v>
      </c>
      <c r="BR7" s="54">
        <f t="shared" si="15"/>
        <v>26.399999999999977</v>
      </c>
      <c r="BS7" s="158">
        <f t="shared" si="13"/>
        <v>0.60034110289937415</v>
      </c>
      <c r="BT7" s="158">
        <f t="shared" si="2"/>
        <v>0.37714285714285684</v>
      </c>
      <c r="BU7" s="158">
        <f t="shared" si="14"/>
        <v>0.32820087463556824</v>
      </c>
      <c r="BW7" s="43">
        <f t="shared" si="3"/>
        <v>0</v>
      </c>
      <c r="BX7" s="2">
        <f t="shared" si="4"/>
        <v>0</v>
      </c>
    </row>
    <row r="8" spans="1:76" x14ac:dyDescent="0.25">
      <c r="A8" s="41">
        <v>5</v>
      </c>
      <c r="B8" s="87" t="s">
        <v>170</v>
      </c>
      <c r="C8" s="28" t="s">
        <v>168</v>
      </c>
      <c r="D8" s="29" t="s">
        <v>171</v>
      </c>
      <c r="E8" s="29" t="s">
        <v>437</v>
      </c>
      <c r="F8" s="30">
        <v>45</v>
      </c>
      <c r="G8" s="30">
        <v>29.37</v>
      </c>
      <c r="H8" s="88" t="s">
        <v>295</v>
      </c>
      <c r="I8" s="171">
        <v>2</v>
      </c>
      <c r="J8" s="172">
        <v>3</v>
      </c>
      <c r="K8" s="172">
        <v>0</v>
      </c>
      <c r="L8" s="172">
        <v>1</v>
      </c>
      <c r="M8" s="172">
        <v>0</v>
      </c>
      <c r="N8" s="171">
        <v>2</v>
      </c>
      <c r="O8" s="172">
        <v>3</v>
      </c>
      <c r="P8" s="172">
        <v>0</v>
      </c>
      <c r="Q8" s="172">
        <v>1</v>
      </c>
      <c r="R8" s="172">
        <v>0</v>
      </c>
      <c r="S8" s="173">
        <f>(I8+(J8*0.875)+(K8*0.75)+(L8*0.625)+(M8*0.5))*1.1</f>
        <v>5.7750000000000004</v>
      </c>
      <c r="T8" s="174">
        <f>(N8+(O8*0.875)+(P8*0.75)+(Q8*0.625)+(R8*0.5))*1.1</f>
        <v>5.7750000000000004</v>
      </c>
      <c r="U8" s="175">
        <v>9</v>
      </c>
      <c r="V8" s="172">
        <v>8</v>
      </c>
      <c r="W8" s="172">
        <v>1</v>
      </c>
      <c r="X8" s="172">
        <v>2</v>
      </c>
      <c r="Y8" s="176">
        <v>0</v>
      </c>
      <c r="Z8" s="177">
        <v>13</v>
      </c>
      <c r="AA8" s="172">
        <v>8</v>
      </c>
      <c r="AB8" s="172">
        <v>1</v>
      </c>
      <c r="AC8" s="172">
        <v>2</v>
      </c>
      <c r="AD8" s="176">
        <v>0</v>
      </c>
      <c r="AE8" s="173">
        <f>((U8+(V8*0.875)+(W8*0.75)+(X8*0.625)+(Y8*0.5))*3)*1.5</f>
        <v>81</v>
      </c>
      <c r="AF8" s="174">
        <f>((Z8+(AA8*0.875)+(AB8*0.75)+(AC8*0.625)+(AD8*0.5))*3)*1.5</f>
        <v>99</v>
      </c>
      <c r="AG8" s="75">
        <f>8*1.2</f>
        <v>9.6</v>
      </c>
      <c r="AH8" s="191">
        <v>9.6</v>
      </c>
      <c r="AI8" s="175">
        <v>5</v>
      </c>
      <c r="AJ8" s="124">
        <v>0</v>
      </c>
      <c r="AK8" s="124">
        <v>1</v>
      </c>
      <c r="AL8" s="124">
        <v>1</v>
      </c>
      <c r="AM8" s="176">
        <v>0</v>
      </c>
      <c r="AN8" s="178">
        <v>8</v>
      </c>
      <c r="AO8" s="124">
        <v>2</v>
      </c>
      <c r="AP8" s="124">
        <v>1</v>
      </c>
      <c r="AQ8" s="124">
        <v>1</v>
      </c>
      <c r="AR8" s="176">
        <v>0</v>
      </c>
      <c r="AS8" s="173">
        <f>((AI8+(AJ8*0.875)+(AK8*0.75)+(AL8*0.625)+(AM8*0.5))*2)*1.4</f>
        <v>17.849999999999998</v>
      </c>
      <c r="AT8" s="174">
        <f>((AN8+(AO8*0.875)+(AP8*0.75)+(AQ8*0.625)+(AR8*0.5))*2)*1.4</f>
        <v>31.15</v>
      </c>
      <c r="AU8" s="175">
        <f>4*0.6</f>
        <v>2.4</v>
      </c>
      <c r="AV8" s="176">
        <v>2.4</v>
      </c>
      <c r="AW8" s="175">
        <f>7*0.7</f>
        <v>4.8999999999999995</v>
      </c>
      <c r="AX8" s="176">
        <v>4.9000000000000004</v>
      </c>
      <c r="AY8" s="175">
        <v>1</v>
      </c>
      <c r="AZ8" s="124">
        <v>1</v>
      </c>
      <c r="BA8" s="124">
        <v>0</v>
      </c>
      <c r="BB8" s="124">
        <v>2</v>
      </c>
      <c r="BC8" s="176">
        <v>3</v>
      </c>
      <c r="BD8" s="175">
        <v>1</v>
      </c>
      <c r="BE8" s="124">
        <v>1</v>
      </c>
      <c r="BF8" s="124">
        <v>0</v>
      </c>
      <c r="BG8" s="124">
        <v>2</v>
      </c>
      <c r="BH8" s="176">
        <v>3</v>
      </c>
      <c r="BI8" s="173">
        <f>((AY8+(AZ8*0.875)+(BA8*0.75)+(BB8*0.625)+(BC8*0.5))*2)*0.8</f>
        <v>7.4</v>
      </c>
      <c r="BJ8" s="174">
        <f>((BD8+(BE8*0.875)+(BF8*0.75)+(BG8*0.625)+(BH8*0.5))*2)*0.8</f>
        <v>7.4</v>
      </c>
      <c r="BK8" s="175"/>
      <c r="BL8" s="176"/>
      <c r="BM8" s="175">
        <v>29.5</v>
      </c>
      <c r="BN8" s="176">
        <v>49.3</v>
      </c>
      <c r="BO8" s="179">
        <f t="shared" si="12"/>
        <v>1.2198441172831866</v>
      </c>
      <c r="BP8" s="50">
        <f t="shared" si="0"/>
        <v>131.32499999999999</v>
      </c>
      <c r="BQ8" s="51">
        <f t="shared" si="1"/>
        <v>162.62500000000003</v>
      </c>
      <c r="BR8" s="54">
        <f t="shared" si="15"/>
        <v>31.30000000000004</v>
      </c>
      <c r="BS8" s="158">
        <f t="shared" si="13"/>
        <v>0.71176805002842614</v>
      </c>
      <c r="BT8" s="158">
        <f t="shared" si="2"/>
        <v>1.0657133129043255</v>
      </c>
      <c r="BU8" s="158">
        <f t="shared" si="14"/>
        <v>0.87364713064966171</v>
      </c>
      <c r="BW8" s="43">
        <f t="shared" si="3"/>
        <v>0</v>
      </c>
      <c r="BX8" s="2">
        <f t="shared" si="4"/>
        <v>0</v>
      </c>
    </row>
    <row r="9" spans="1:76" ht="25.5" x14ac:dyDescent="0.25">
      <c r="A9" s="41">
        <v>6</v>
      </c>
      <c r="B9" s="87" t="s">
        <v>174</v>
      </c>
      <c r="C9" s="28" t="s">
        <v>175</v>
      </c>
      <c r="D9" s="29" t="s">
        <v>176</v>
      </c>
      <c r="E9" s="29" t="s">
        <v>436</v>
      </c>
      <c r="F9" s="30">
        <v>70</v>
      </c>
      <c r="G9" s="30">
        <v>70</v>
      </c>
      <c r="H9" s="88" t="s">
        <v>297</v>
      </c>
      <c r="I9" s="67">
        <v>1</v>
      </c>
      <c r="J9" s="94">
        <v>1</v>
      </c>
      <c r="K9" s="94">
        <v>0</v>
      </c>
      <c r="L9" s="94">
        <v>0</v>
      </c>
      <c r="M9" s="94">
        <v>2</v>
      </c>
      <c r="N9" s="97">
        <v>3</v>
      </c>
      <c r="O9" s="94">
        <v>1</v>
      </c>
      <c r="P9" s="94">
        <v>0</v>
      </c>
      <c r="Q9" s="94">
        <v>0</v>
      </c>
      <c r="R9" s="94">
        <v>2</v>
      </c>
      <c r="S9" s="65">
        <f>(I9+(J9*0.875)+(K9*0.75)+(L9*0.625)+(M9*0.5))*1.5</f>
        <v>4.3125</v>
      </c>
      <c r="T9" s="128">
        <f>(N9+(O9*0.875)+(P9*0.75)+(Q9*0.625)+(R9*0.5))*1.5</f>
        <v>7.3125</v>
      </c>
      <c r="U9" s="67">
        <v>0</v>
      </c>
      <c r="V9" s="94">
        <v>3</v>
      </c>
      <c r="W9" s="94">
        <v>0</v>
      </c>
      <c r="X9" s="94">
        <v>0</v>
      </c>
      <c r="Y9" s="68">
        <v>0</v>
      </c>
      <c r="Z9" s="82">
        <v>3</v>
      </c>
      <c r="AA9" s="94">
        <v>3</v>
      </c>
      <c r="AB9" s="94">
        <v>0</v>
      </c>
      <c r="AC9" s="94">
        <v>0</v>
      </c>
      <c r="AD9" s="68">
        <v>0</v>
      </c>
      <c r="AE9" s="65">
        <f>((U9+(V9*0.875)+(W9*0.75)+(X9*0.625)+(Y9*0.5))*3)*1.2</f>
        <v>9.4499999999999993</v>
      </c>
      <c r="AF9" s="128">
        <f>((Z9+(AA9*0.875)+(AB9*0.75)+(AC9*0.625)+(AD9*0.5))*3)*1.2</f>
        <v>20.25</v>
      </c>
      <c r="AG9" s="192">
        <v>0.8</v>
      </c>
      <c r="AH9" s="76">
        <v>0.8</v>
      </c>
      <c r="AI9" s="131">
        <v>1</v>
      </c>
      <c r="AJ9" s="98">
        <v>1</v>
      </c>
      <c r="AK9" s="98">
        <v>2</v>
      </c>
      <c r="AL9" s="98">
        <v>3</v>
      </c>
      <c r="AM9" s="70">
        <v>0</v>
      </c>
      <c r="AN9" s="131">
        <v>1</v>
      </c>
      <c r="AO9" s="98">
        <v>1</v>
      </c>
      <c r="AP9" s="98">
        <v>3</v>
      </c>
      <c r="AQ9" s="98">
        <v>5</v>
      </c>
      <c r="AR9" s="70">
        <v>0</v>
      </c>
      <c r="AS9" s="107">
        <f>((AI9+(AJ9*0.875)+(AK9*0.75)+(AL9*0.625)+(AM9*0.5))*2)*0.8</f>
        <v>8.4</v>
      </c>
      <c r="AT9" s="168">
        <f>((AN9+(AO9*0.875)+(AP9*0.75)+(AQ9*0.625)+(AR9*0.5))*2)*0.8</f>
        <v>11.600000000000001</v>
      </c>
      <c r="AU9" s="63">
        <f>10*1.3</f>
        <v>13</v>
      </c>
      <c r="AV9" s="170">
        <f>10*1.3</f>
        <v>13</v>
      </c>
      <c r="AW9" s="63">
        <v>1.4</v>
      </c>
      <c r="AX9" s="64">
        <v>4.2</v>
      </c>
      <c r="AY9" s="71">
        <v>0</v>
      </c>
      <c r="AZ9" s="101">
        <v>3</v>
      </c>
      <c r="BA9" s="101">
        <v>3</v>
      </c>
      <c r="BB9" s="101">
        <v>5</v>
      </c>
      <c r="BC9" s="102">
        <v>4</v>
      </c>
      <c r="BD9" s="71">
        <v>0</v>
      </c>
      <c r="BE9" s="101">
        <v>3</v>
      </c>
      <c r="BF9" s="101">
        <v>3</v>
      </c>
      <c r="BG9" s="101">
        <v>5</v>
      </c>
      <c r="BH9" s="102">
        <v>4</v>
      </c>
      <c r="BI9" s="109">
        <f>((AY9+(AZ9*0.875)+(BA9*0.75)+(BB9*0.625)+(BC9*0.5))*2)*1.6</f>
        <v>32</v>
      </c>
      <c r="BJ9" s="134">
        <f>((BD9+(BE9*0.875)+(BF9*0.75)+(BG9*0.625)+(BH9*0.5))*2)*1.6</f>
        <v>32</v>
      </c>
      <c r="BM9" s="79">
        <v>19.899999999999999</v>
      </c>
      <c r="BN9" s="80">
        <v>31.9</v>
      </c>
      <c r="BO9" s="169">
        <f t="shared" si="12"/>
        <v>1.170083996625463</v>
      </c>
      <c r="BP9" s="50">
        <f t="shared" si="0"/>
        <v>82.362499999999997</v>
      </c>
      <c r="BQ9" s="51">
        <f t="shared" si="1"/>
        <v>102.16250000000001</v>
      </c>
      <c r="BR9" s="54">
        <f t="shared" si="15"/>
        <v>19.800000000000011</v>
      </c>
      <c r="BS9" s="158">
        <f t="shared" si="13"/>
        <v>0.45025582717453122</v>
      </c>
      <c r="BT9" s="158">
        <f t="shared" si="2"/>
        <v>0.28285714285714303</v>
      </c>
      <c r="BU9" s="158">
        <f t="shared" si="14"/>
        <v>0.24174088669950755</v>
      </c>
      <c r="BW9" s="43">
        <f t="shared" si="3"/>
        <v>0</v>
      </c>
      <c r="BX9" s="2">
        <f t="shared" si="4"/>
        <v>0</v>
      </c>
    </row>
    <row r="10" spans="1:76" ht="25.5" x14ac:dyDescent="0.25">
      <c r="A10" s="41">
        <v>7</v>
      </c>
      <c r="B10" s="87" t="s">
        <v>180</v>
      </c>
      <c r="C10" s="28" t="s">
        <v>178</v>
      </c>
      <c r="D10" s="29" t="s">
        <v>181</v>
      </c>
      <c r="E10" s="29" t="s">
        <v>436</v>
      </c>
      <c r="F10" s="30">
        <v>44.5</v>
      </c>
      <c r="G10" s="30">
        <v>79.7</v>
      </c>
      <c r="H10" s="89" t="s">
        <v>299</v>
      </c>
      <c r="I10" s="67">
        <v>1</v>
      </c>
      <c r="J10" s="92">
        <v>1</v>
      </c>
      <c r="K10" s="92">
        <v>3</v>
      </c>
      <c r="L10" s="92">
        <v>0</v>
      </c>
      <c r="M10" s="68">
        <v>0</v>
      </c>
      <c r="N10" s="97">
        <v>1</v>
      </c>
      <c r="O10" s="94">
        <v>1</v>
      </c>
      <c r="P10" s="94">
        <v>3</v>
      </c>
      <c r="Q10" s="94">
        <v>0</v>
      </c>
      <c r="R10" s="94">
        <v>0</v>
      </c>
      <c r="S10" s="65">
        <f>(I10+(J10*0.875)+(K10*0.75)+(L10*0.625)+(M10*0.5))*1.5</f>
        <v>6.1875</v>
      </c>
      <c r="T10" s="128">
        <f>(N10+(O10*0.875)+(P10*0.75)+(Q10*0.625)+(R10*0.5))*1.5</f>
        <v>6.1875</v>
      </c>
      <c r="U10" s="67">
        <v>8</v>
      </c>
      <c r="V10" s="92">
        <v>16</v>
      </c>
      <c r="W10" s="92">
        <v>6</v>
      </c>
      <c r="X10" s="92">
        <v>2</v>
      </c>
      <c r="Y10" s="68">
        <v>1</v>
      </c>
      <c r="Z10" s="82">
        <v>14</v>
      </c>
      <c r="AA10" s="94">
        <v>16</v>
      </c>
      <c r="AB10" s="94">
        <v>6</v>
      </c>
      <c r="AC10" s="94">
        <v>2</v>
      </c>
      <c r="AD10" s="68">
        <v>1</v>
      </c>
      <c r="AE10" s="65">
        <f>((U10+(V10*0.875)+(W10*0.75)+(X10*0.625)+(Y10*0.5))*3)*1.2</f>
        <v>101.7</v>
      </c>
      <c r="AF10" s="128">
        <f>((Z10+(AA10*0.875)+(AB10*0.75)+(AC10*0.625)+(AD10*0.5))*3)*1.2</f>
        <v>123.3</v>
      </c>
      <c r="AG10" s="75">
        <f>0.8*15</f>
        <v>12</v>
      </c>
      <c r="AH10" s="103">
        <f>0.8*15</f>
        <v>12</v>
      </c>
      <c r="AI10" s="69">
        <v>8</v>
      </c>
      <c r="AJ10" s="98">
        <v>9</v>
      </c>
      <c r="AK10" s="98">
        <v>0</v>
      </c>
      <c r="AL10" s="98">
        <v>1</v>
      </c>
      <c r="AM10" s="70">
        <v>0</v>
      </c>
      <c r="AN10" s="131">
        <v>15</v>
      </c>
      <c r="AO10" s="98">
        <v>10</v>
      </c>
      <c r="AP10" s="98">
        <v>1</v>
      </c>
      <c r="AQ10" s="98">
        <v>5</v>
      </c>
      <c r="AR10" s="70">
        <v>0</v>
      </c>
      <c r="AS10" s="107">
        <f>((AI10+(AJ10*0.875)+(AK10*0.75)+(AL10*0.625)+(AM10*0.5))*2)*0.8</f>
        <v>26.400000000000002</v>
      </c>
      <c r="AT10" s="168">
        <f>((AN10+(AO10*0.875)+(AP10*0.75)+(AQ10*0.625)+(AR10*0.5))*2)*0.8</f>
        <v>44.2</v>
      </c>
      <c r="AU10" s="63">
        <f>5*1.3</f>
        <v>6.5</v>
      </c>
      <c r="AV10" s="64">
        <f>5*1.3</f>
        <v>6.5</v>
      </c>
      <c r="AW10" s="63">
        <f>13*1.4</f>
        <v>18.2</v>
      </c>
      <c r="AX10" s="64">
        <f>13*1.4</f>
        <v>18.2</v>
      </c>
      <c r="AY10" s="71">
        <v>0</v>
      </c>
      <c r="AZ10" s="101">
        <v>7</v>
      </c>
      <c r="BA10" s="101">
        <v>8</v>
      </c>
      <c r="BB10" s="101">
        <v>4</v>
      </c>
      <c r="BC10" s="72">
        <v>0</v>
      </c>
      <c r="BD10" s="71">
        <v>0</v>
      </c>
      <c r="BE10" s="101">
        <v>7</v>
      </c>
      <c r="BF10" s="101">
        <v>8</v>
      </c>
      <c r="BG10" s="101">
        <v>4</v>
      </c>
      <c r="BH10" s="72">
        <v>0</v>
      </c>
      <c r="BI10" s="109">
        <f>((AY10+(AZ10*0.875)+(BA10*0.75)+(BB10*0.625)+(BC10*0.5))*2)*1.6</f>
        <v>46.800000000000004</v>
      </c>
      <c r="BJ10" s="134">
        <f>((BD10+(BE10*0.875)+(BF10*0.75)+(BG10*0.625)+(BH10*0.5))*2)*1.6</f>
        <v>46.800000000000004</v>
      </c>
      <c r="BM10" s="79">
        <v>23.9</v>
      </c>
      <c r="BN10" s="80">
        <v>45.5</v>
      </c>
      <c r="BO10" s="169">
        <f t="shared" si="12"/>
        <v>1.3896099929755978</v>
      </c>
      <c r="BP10" s="50">
        <f t="shared" si="0"/>
        <v>224.28749999999999</v>
      </c>
      <c r="BQ10" s="51">
        <f t="shared" si="1"/>
        <v>263.6875</v>
      </c>
      <c r="BR10" s="54">
        <f t="shared" si="15"/>
        <v>39.400000000000006</v>
      </c>
      <c r="BS10" s="158">
        <f t="shared" si="13"/>
        <v>0.89596361569073346</v>
      </c>
      <c r="BT10" s="158">
        <f t="shared" si="2"/>
        <v>0.49435382685069013</v>
      </c>
      <c r="BU10" s="158">
        <f t="shared" si="14"/>
        <v>0.35575005170488233</v>
      </c>
      <c r="BW10" s="43">
        <f t="shared" si="3"/>
        <v>0</v>
      </c>
      <c r="BX10" s="2">
        <f t="shared" si="4"/>
        <v>0</v>
      </c>
    </row>
    <row r="11" spans="1:76" x14ac:dyDescent="0.25">
      <c r="A11" s="41">
        <v>8</v>
      </c>
      <c r="B11" s="87" t="s">
        <v>184</v>
      </c>
      <c r="C11" s="28" t="s">
        <v>185</v>
      </c>
      <c r="D11" s="29" t="s">
        <v>186</v>
      </c>
      <c r="E11" s="29" t="s">
        <v>438</v>
      </c>
      <c r="F11" s="30">
        <v>44.5</v>
      </c>
      <c r="G11" s="30">
        <v>111.87</v>
      </c>
      <c r="H11" s="88" t="s">
        <v>301</v>
      </c>
      <c r="I11" s="171">
        <v>0</v>
      </c>
      <c r="J11" s="172">
        <v>1</v>
      </c>
      <c r="K11" s="172">
        <v>1</v>
      </c>
      <c r="L11" s="172">
        <v>1</v>
      </c>
      <c r="M11" s="172">
        <v>0</v>
      </c>
      <c r="N11" s="171">
        <v>0</v>
      </c>
      <c r="O11" s="172">
        <v>1</v>
      </c>
      <c r="P11" s="172">
        <v>1</v>
      </c>
      <c r="Q11" s="172">
        <v>1</v>
      </c>
      <c r="R11" s="172">
        <v>0</v>
      </c>
      <c r="S11" s="173">
        <f t="shared" ref="S11:S21" si="16">I11+(J11*0.875)+(K11*0.75)+(L11*0.625)+(M11*0.5)</f>
        <v>2.25</v>
      </c>
      <c r="T11" s="174">
        <f t="shared" ref="T11:T21" si="17">N11+(O11*0.875)+(P11*0.75)+(Q11*0.625)+(R11*0.5)</f>
        <v>2.25</v>
      </c>
      <c r="U11" s="175">
        <v>0</v>
      </c>
      <c r="V11" s="172">
        <v>2</v>
      </c>
      <c r="W11" s="172">
        <v>11</v>
      </c>
      <c r="X11" s="172">
        <v>11</v>
      </c>
      <c r="Y11" s="176">
        <v>4</v>
      </c>
      <c r="Z11" s="177">
        <v>4</v>
      </c>
      <c r="AA11" s="172">
        <v>2</v>
      </c>
      <c r="AB11" s="172">
        <v>11</v>
      </c>
      <c r="AC11" s="172">
        <v>11</v>
      </c>
      <c r="AD11" s="176">
        <v>4</v>
      </c>
      <c r="AE11" s="173">
        <f t="shared" ref="AE11:AE21" si="18">(U11+(V11*0.875)+(W11*0.75)+(X11*0.625)+(Y11*0.5))*3</f>
        <v>56.625</v>
      </c>
      <c r="AF11" s="174">
        <f t="shared" ref="AF11:AF21" si="19">(Z11+(AA11*0.875)+(AB11*0.75)+(AC11*0.625)+(AD11*0.5))*3</f>
        <v>68.625</v>
      </c>
      <c r="AG11" s="75">
        <v>3</v>
      </c>
      <c r="AH11" s="76">
        <v>3</v>
      </c>
      <c r="AI11" s="175">
        <v>0</v>
      </c>
      <c r="AJ11" s="124">
        <v>0</v>
      </c>
      <c r="AK11" s="124">
        <v>15</v>
      </c>
      <c r="AL11" s="124">
        <v>13</v>
      </c>
      <c r="AM11" s="176">
        <v>1</v>
      </c>
      <c r="AN11" s="178">
        <v>4</v>
      </c>
      <c r="AO11" s="124">
        <v>2</v>
      </c>
      <c r="AP11" s="124">
        <v>16</v>
      </c>
      <c r="AQ11" s="124">
        <v>15</v>
      </c>
      <c r="AR11" s="176">
        <v>1</v>
      </c>
      <c r="AS11" s="173">
        <f t="shared" ref="AS11:AS21" si="20">(AI11+(AJ11*0.875)+(AK11*0.75)+(AL11*0.625)+(AM11*0.5))*2</f>
        <v>39.75</v>
      </c>
      <c r="AT11" s="174">
        <f t="shared" ref="AT11:AT21" si="21">(AN11+(AO11*0.875)+(AP11*0.75)+(AQ11*0.625)+(AR11*0.5))*2</f>
        <v>55.25</v>
      </c>
      <c r="AU11" s="175">
        <v>5</v>
      </c>
      <c r="AV11" s="176">
        <v>5</v>
      </c>
      <c r="AW11" s="175">
        <v>16</v>
      </c>
      <c r="AX11" s="176">
        <v>16</v>
      </c>
      <c r="AY11" s="175">
        <v>3</v>
      </c>
      <c r="AZ11" s="124">
        <v>14</v>
      </c>
      <c r="BA11" s="124">
        <v>2</v>
      </c>
      <c r="BB11" s="124">
        <v>7</v>
      </c>
      <c r="BC11" s="176">
        <v>8</v>
      </c>
      <c r="BD11" s="175">
        <v>3</v>
      </c>
      <c r="BE11" s="124">
        <v>14</v>
      </c>
      <c r="BF11" s="124">
        <v>2</v>
      </c>
      <c r="BG11" s="124">
        <v>7</v>
      </c>
      <c r="BH11" s="176">
        <v>8</v>
      </c>
      <c r="BI11" s="173">
        <f t="shared" ref="BI11:BI21" si="22">(AY11+(AZ11*0.875)+(BA11*0.75)+(BB11*0.625)+(BC11*0.5))*2</f>
        <v>50.25</v>
      </c>
      <c r="BJ11" s="174">
        <f t="shared" ref="BJ11:BJ21" si="23">(BD11+(BE11*0.875)+(BF11*0.75)+(BG11*0.625)+(BH11*0.5))*2</f>
        <v>50.25</v>
      </c>
      <c r="BK11" s="175"/>
      <c r="BL11" s="176"/>
      <c r="BM11" s="175">
        <v>44.1</v>
      </c>
      <c r="BN11" s="176">
        <v>66.900000000000006</v>
      </c>
      <c r="BO11" s="179">
        <f t="shared" si="12"/>
        <v>1.1073042355628382</v>
      </c>
      <c r="BP11" s="50">
        <f t="shared" si="0"/>
        <v>177.875</v>
      </c>
      <c r="BQ11" s="51">
        <f t="shared" si="1"/>
        <v>205.375</v>
      </c>
      <c r="BR11" s="54">
        <f t="shared" si="15"/>
        <v>27.5</v>
      </c>
      <c r="BS11" s="158">
        <f t="shared" si="13"/>
        <v>0.62535531552018186</v>
      </c>
      <c r="BT11" s="158">
        <f t="shared" si="2"/>
        <v>0.24582104228121926</v>
      </c>
      <c r="BU11" s="158">
        <f t="shared" si="14"/>
        <v>0.22199955024670293</v>
      </c>
      <c r="BW11" s="43">
        <f t="shared" si="3"/>
        <v>0</v>
      </c>
      <c r="BX11" s="2">
        <f t="shared" si="4"/>
        <v>0</v>
      </c>
    </row>
    <row r="12" spans="1:76" ht="25.5" x14ac:dyDescent="0.25">
      <c r="A12" s="41">
        <v>10</v>
      </c>
      <c r="B12" s="87" t="s">
        <v>243</v>
      </c>
      <c r="C12" s="28" t="s">
        <v>185</v>
      </c>
      <c r="D12" s="29" t="s">
        <v>244</v>
      </c>
      <c r="E12" s="29" t="s">
        <v>438</v>
      </c>
      <c r="F12" s="30">
        <v>50</v>
      </c>
      <c r="G12" s="30">
        <v>90.13</v>
      </c>
      <c r="H12" s="88" t="s">
        <v>310</v>
      </c>
      <c r="I12" s="175"/>
      <c r="J12" s="124"/>
      <c r="K12" s="124"/>
      <c r="L12" s="124"/>
      <c r="M12" s="176"/>
      <c r="N12" s="171"/>
      <c r="O12" s="172"/>
      <c r="P12" s="172"/>
      <c r="Q12" s="172"/>
      <c r="R12" s="172"/>
      <c r="S12" s="173">
        <f t="shared" si="16"/>
        <v>0</v>
      </c>
      <c r="T12" s="174">
        <f>N12+(O12*0.875)+(P12*0.75)+(Q12*0.625)+(R12*0.5)</f>
        <v>0</v>
      </c>
      <c r="U12" s="175"/>
      <c r="V12" s="124"/>
      <c r="W12" s="124"/>
      <c r="X12" s="124"/>
      <c r="Y12" s="176"/>
      <c r="Z12" s="177"/>
      <c r="AA12" s="172"/>
      <c r="AB12" s="172"/>
      <c r="AC12" s="172"/>
      <c r="AD12" s="176"/>
      <c r="AE12" s="173">
        <f>(U12+(V12*0.875)+(W12*0.75)+(X12*0.625)+(Y12*0.5))*3</f>
        <v>0</v>
      </c>
      <c r="AF12" s="174">
        <f>(Z12+(AA12*0.875)+(AB12*0.75)+(AC12*0.625)+(AD12*0.5))*3</f>
        <v>0</v>
      </c>
      <c r="AH12" s="104"/>
      <c r="AI12" s="175"/>
      <c r="AJ12" s="124"/>
      <c r="AK12" s="124"/>
      <c r="AL12" s="124"/>
      <c r="AM12" s="176"/>
      <c r="AN12" s="178"/>
      <c r="AO12" s="124"/>
      <c r="AP12" s="124"/>
      <c r="AQ12" s="124"/>
      <c r="AR12" s="176"/>
      <c r="AS12" s="173">
        <f t="shared" si="20"/>
        <v>0</v>
      </c>
      <c r="AT12" s="174">
        <f t="shared" si="21"/>
        <v>0</v>
      </c>
      <c r="AU12" s="175"/>
      <c r="AV12" s="176"/>
      <c r="AW12" s="175"/>
      <c r="AX12" s="176"/>
      <c r="AY12" s="175"/>
      <c r="AZ12" s="124"/>
      <c r="BA12" s="124"/>
      <c r="BB12" s="124"/>
      <c r="BC12" s="172"/>
      <c r="BD12" s="175"/>
      <c r="BE12" s="124"/>
      <c r="BF12" s="124"/>
      <c r="BG12" s="124"/>
      <c r="BH12" s="176"/>
      <c r="BI12" s="173">
        <f t="shared" si="22"/>
        <v>0</v>
      </c>
      <c r="BJ12" s="174">
        <f t="shared" si="23"/>
        <v>0</v>
      </c>
      <c r="BK12" s="175"/>
      <c r="BL12" s="176"/>
      <c r="BM12" s="175">
        <v>44.1</v>
      </c>
      <c r="BN12" s="176">
        <v>66.900000000000006</v>
      </c>
      <c r="BO12" s="179">
        <f t="shared" si="12"/>
        <v>1.1073042355628382</v>
      </c>
      <c r="BP12" s="50">
        <f t="shared" si="0"/>
        <v>0</v>
      </c>
      <c r="BQ12" s="51">
        <f t="shared" si="1"/>
        <v>0</v>
      </c>
      <c r="BR12" s="54">
        <f t="shared" si="15"/>
        <v>0</v>
      </c>
      <c r="BS12" s="158">
        <f t="shared" si="13"/>
        <v>0</v>
      </c>
      <c r="BT12" s="158">
        <f t="shared" si="2"/>
        <v>0</v>
      </c>
      <c r="BU12" s="158">
        <f t="shared" si="14"/>
        <v>0</v>
      </c>
      <c r="BW12" s="43">
        <f t="shared" si="3"/>
        <v>0</v>
      </c>
      <c r="BX12" s="2">
        <f t="shared" si="4"/>
        <v>0</v>
      </c>
    </row>
    <row r="13" spans="1:76" x14ac:dyDescent="0.25">
      <c r="A13" s="41">
        <v>11</v>
      </c>
      <c r="B13" s="87" t="s">
        <v>245</v>
      </c>
      <c r="C13" s="28" t="s">
        <v>185</v>
      </c>
      <c r="D13" s="29" t="s">
        <v>246</v>
      </c>
      <c r="E13" s="29" t="s">
        <v>436</v>
      </c>
      <c r="F13" s="30">
        <v>70</v>
      </c>
      <c r="G13" s="30">
        <v>517.17999999999995</v>
      </c>
      <c r="H13" s="88" t="s">
        <v>311</v>
      </c>
      <c r="I13" s="67">
        <v>0</v>
      </c>
      <c r="J13" s="92">
        <v>2</v>
      </c>
      <c r="K13" s="92">
        <v>0</v>
      </c>
      <c r="L13" s="92">
        <v>0</v>
      </c>
      <c r="M13" s="68">
        <v>0</v>
      </c>
      <c r="N13" s="97">
        <v>1</v>
      </c>
      <c r="O13" s="94">
        <v>2</v>
      </c>
      <c r="P13" s="94">
        <v>0</v>
      </c>
      <c r="Q13" s="94">
        <v>0</v>
      </c>
      <c r="R13" s="94">
        <v>0</v>
      </c>
      <c r="S13" s="65">
        <f>(I13+(J13*0.875)+(K13*0.75)+(L13*0.625)+(M13*0.5))*1.5</f>
        <v>2.625</v>
      </c>
      <c r="T13" s="128">
        <f>(N13+(O13*0.875)+(P13*0.75)+(Q13*0.625)+(R13*0.5))*1.5</f>
        <v>4.125</v>
      </c>
      <c r="U13" s="67">
        <v>4</v>
      </c>
      <c r="V13" s="92">
        <v>9</v>
      </c>
      <c r="W13" s="92">
        <v>2</v>
      </c>
      <c r="X13" s="92">
        <v>2</v>
      </c>
      <c r="Y13" s="68">
        <v>1</v>
      </c>
      <c r="Z13" s="82">
        <v>6</v>
      </c>
      <c r="AA13" s="94">
        <v>9</v>
      </c>
      <c r="AB13" s="94">
        <v>2</v>
      </c>
      <c r="AC13" s="94">
        <v>2</v>
      </c>
      <c r="AD13" s="68">
        <v>1</v>
      </c>
      <c r="AE13" s="65">
        <f>((U13+(V13*0.875)+(W13*0.75)+(X13*0.625)+(Y13*0.5))*3)*1.2</f>
        <v>54.449999999999996</v>
      </c>
      <c r="AF13" s="128">
        <f>((Z13+(AA13*0.875)+(AB13*0.75)+(AC13*0.625)+(AD13*0.5))*3)*1.2</f>
        <v>61.65</v>
      </c>
      <c r="AG13" s="75">
        <f>0.8*7</f>
        <v>5.6000000000000005</v>
      </c>
      <c r="AH13" s="104">
        <f>0.8*7</f>
        <v>5.6000000000000005</v>
      </c>
      <c r="AI13" s="69">
        <v>6</v>
      </c>
      <c r="AJ13" s="98">
        <v>17</v>
      </c>
      <c r="AK13" s="98">
        <v>10</v>
      </c>
      <c r="AL13" s="98">
        <v>4</v>
      </c>
      <c r="AM13" s="70">
        <v>0</v>
      </c>
      <c r="AN13" s="131">
        <v>11</v>
      </c>
      <c r="AO13" s="98">
        <v>19</v>
      </c>
      <c r="AP13" s="98">
        <v>13</v>
      </c>
      <c r="AQ13" s="98">
        <v>4</v>
      </c>
      <c r="AR13" s="70">
        <v>0</v>
      </c>
      <c r="AS13" s="107">
        <f>((AI13+(AJ13*0.875)+(AK13*0.75)+(AL13*0.625)+(AM13*0.5))*2)*0.8</f>
        <v>49.400000000000006</v>
      </c>
      <c r="AT13" s="168">
        <f>((AN13+(AO13*0.875)+(AP13*0.75)+(AQ13*0.625)+(AR13*0.5))*2)*0.8</f>
        <v>63.800000000000004</v>
      </c>
      <c r="AU13" s="63">
        <f>7*1.3</f>
        <v>9.1</v>
      </c>
      <c r="AV13" s="64">
        <f>7*1.3</f>
        <v>9.1</v>
      </c>
      <c r="AW13" s="63">
        <f>1.4*13</f>
        <v>18.2</v>
      </c>
      <c r="AX13" s="64">
        <f>1.4*18</f>
        <v>25.2</v>
      </c>
      <c r="AY13" s="71">
        <v>6</v>
      </c>
      <c r="AZ13" s="101">
        <v>6</v>
      </c>
      <c r="BA13" s="101">
        <v>2</v>
      </c>
      <c r="BB13" s="101">
        <v>0</v>
      </c>
      <c r="BC13" s="102">
        <v>2</v>
      </c>
      <c r="BD13" s="71">
        <v>7</v>
      </c>
      <c r="BE13" s="101">
        <v>6</v>
      </c>
      <c r="BF13" s="101">
        <v>4</v>
      </c>
      <c r="BG13" s="101">
        <v>0</v>
      </c>
      <c r="BH13" s="72">
        <v>2</v>
      </c>
      <c r="BI13" s="109">
        <f>((AY13+(AZ13*0.875)+(BA13*0.75)+(BB13*0.625)+(BC13*0.5))*2)*1.6</f>
        <v>44</v>
      </c>
      <c r="BJ13" s="134">
        <f>((BD13+(BE13*0.875)+(BF13*0.75)+(BG13*0.625)+(BH13*0.5))*2)*1.6</f>
        <v>52</v>
      </c>
      <c r="BM13" s="79">
        <v>44.1</v>
      </c>
      <c r="BN13" s="80">
        <v>66.900000000000006</v>
      </c>
      <c r="BO13" s="169">
        <f t="shared" si="12"/>
        <v>1.1073042355628382</v>
      </c>
      <c r="BP13" s="50">
        <f t="shared" si="0"/>
        <v>192.47499999999999</v>
      </c>
      <c r="BQ13" s="51">
        <f t="shared" si="1"/>
        <v>230.57499999999999</v>
      </c>
      <c r="BR13" s="54">
        <f t="shared" si="15"/>
        <v>38.099999999999994</v>
      </c>
      <c r="BS13" s="158">
        <f t="shared" si="13"/>
        <v>0.86640136441159732</v>
      </c>
      <c r="BT13" s="158">
        <f t="shared" si="2"/>
        <v>7.3668742024053518E-2</v>
      </c>
      <c r="BU13" s="158">
        <f t="shared" si="14"/>
        <v>6.6529811462888513E-2</v>
      </c>
      <c r="BW13" s="43">
        <f t="shared" si="3"/>
        <v>0</v>
      </c>
      <c r="BX13" s="2">
        <f t="shared" si="4"/>
        <v>0</v>
      </c>
    </row>
    <row r="14" spans="1:76" x14ac:dyDescent="0.25">
      <c r="A14" s="41">
        <v>12</v>
      </c>
      <c r="B14" s="87" t="s">
        <v>255</v>
      </c>
      <c r="C14" s="28" t="s">
        <v>196</v>
      </c>
      <c r="D14" s="29" t="s">
        <v>256</v>
      </c>
      <c r="E14" s="29" t="s">
        <v>436</v>
      </c>
      <c r="F14" s="30">
        <v>50</v>
      </c>
      <c r="G14" s="30">
        <v>58.08</v>
      </c>
      <c r="H14" s="88" t="s">
        <v>314</v>
      </c>
      <c r="I14" s="67">
        <v>2</v>
      </c>
      <c r="J14" s="92">
        <v>1</v>
      </c>
      <c r="K14" s="92">
        <v>1</v>
      </c>
      <c r="L14" s="92">
        <v>0</v>
      </c>
      <c r="M14" s="68">
        <v>0</v>
      </c>
      <c r="N14" s="97">
        <v>2</v>
      </c>
      <c r="O14" s="94">
        <v>1</v>
      </c>
      <c r="P14" s="94">
        <v>1</v>
      </c>
      <c r="Q14" s="94">
        <v>0</v>
      </c>
      <c r="R14" s="94">
        <v>0</v>
      </c>
      <c r="S14" s="65">
        <f t="shared" ref="S14:S17" si="24">(I14+(J14*0.875)+(K14*0.75)+(L14*0.625)+(M14*0.5))*1.5</f>
        <v>5.4375</v>
      </c>
      <c r="T14" s="128">
        <f t="shared" ref="T14:T17" si="25">(N14+(O14*0.875)+(P14*0.75)+(Q14*0.625)+(R14*0.5))*1.5</f>
        <v>5.4375</v>
      </c>
      <c r="U14" s="67">
        <v>4</v>
      </c>
      <c r="V14" s="92">
        <v>0</v>
      </c>
      <c r="W14" s="92">
        <v>0</v>
      </c>
      <c r="X14" s="92">
        <v>0</v>
      </c>
      <c r="Y14" s="68">
        <v>0</v>
      </c>
      <c r="Z14" s="82">
        <v>4</v>
      </c>
      <c r="AA14" s="94">
        <v>0</v>
      </c>
      <c r="AB14" s="94">
        <v>0</v>
      </c>
      <c r="AC14" s="94">
        <v>0</v>
      </c>
      <c r="AD14" s="68">
        <v>0</v>
      </c>
      <c r="AE14" s="65">
        <f t="shared" ref="AE14:AE17" si="26">((U14+(V14*0.875)+(W14*0.75)+(X14*0.625)+(Y14*0.5))*3)*1.2</f>
        <v>14.399999999999999</v>
      </c>
      <c r="AF14" s="128">
        <f t="shared" ref="AF14:AF17" si="27">((Z14+(AA14*0.875)+(AB14*0.75)+(AC14*0.625)+(AD14*0.5))*3)*1.2</f>
        <v>14.399999999999999</v>
      </c>
      <c r="AG14" s="75">
        <v>0.8</v>
      </c>
      <c r="AH14" s="76">
        <v>0.8</v>
      </c>
      <c r="AI14" s="69">
        <v>2</v>
      </c>
      <c r="AJ14" s="98">
        <v>0</v>
      </c>
      <c r="AK14" s="98">
        <v>0</v>
      </c>
      <c r="AL14" s="98">
        <v>0</v>
      </c>
      <c r="AM14" s="70">
        <v>0</v>
      </c>
      <c r="AN14" s="131">
        <v>2</v>
      </c>
      <c r="AO14" s="98">
        <v>0</v>
      </c>
      <c r="AP14" s="98">
        <v>0</v>
      </c>
      <c r="AQ14" s="98">
        <v>0</v>
      </c>
      <c r="AR14" s="70">
        <v>0</v>
      </c>
      <c r="AS14" s="107">
        <f t="shared" ref="AS14:AS17" si="28">((AI14+(AJ14*0.875)+(AK14*0.75)+(AL14*0.625)+(AM14*0.5))*2)*0.8</f>
        <v>3.2</v>
      </c>
      <c r="AT14" s="168">
        <f t="shared" ref="AT14:AT17" si="29">((AN14+(AO14*0.875)+(AP14*0.75)+(AQ14*0.625)+(AR14*0.5))*2)*0.8</f>
        <v>3.2</v>
      </c>
      <c r="AU14" s="63">
        <v>1.3</v>
      </c>
      <c r="AV14" s="64">
        <v>1.3</v>
      </c>
      <c r="AW14" s="63">
        <v>1.4</v>
      </c>
      <c r="AX14" s="64">
        <v>1.4</v>
      </c>
      <c r="AY14" s="71">
        <v>1</v>
      </c>
      <c r="AZ14" s="101">
        <v>1</v>
      </c>
      <c r="BA14" s="101">
        <v>0</v>
      </c>
      <c r="BB14" s="101">
        <v>0</v>
      </c>
      <c r="BC14" s="102">
        <v>0</v>
      </c>
      <c r="BD14" s="71">
        <v>2</v>
      </c>
      <c r="BE14" s="101">
        <v>1</v>
      </c>
      <c r="BF14" s="101">
        <v>0</v>
      </c>
      <c r="BG14" s="101">
        <v>0</v>
      </c>
      <c r="BH14" s="72">
        <v>0</v>
      </c>
      <c r="BI14" s="109">
        <f t="shared" ref="BI14:BI17" si="30">((AY14+(AZ14*0.875)+(BA14*0.75)+(BB14*0.625)+(BC14*0.5))*2)*1.6</f>
        <v>6</v>
      </c>
      <c r="BJ14" s="134">
        <f t="shared" ref="BJ14:BJ17" si="31">((BD14+(BE14*0.875)+(BF14*0.75)+(BG14*0.625)+(BH14*0.5))*2)*1.6</f>
        <v>9.2000000000000011</v>
      </c>
      <c r="BM14" s="79">
        <v>27.2</v>
      </c>
      <c r="BN14" s="80">
        <v>46.3</v>
      </c>
      <c r="BO14" s="169">
        <f t="shared" si="12"/>
        <v>1.2424860455130955</v>
      </c>
      <c r="BP14" s="50">
        <f t="shared" si="0"/>
        <v>33.837499999999999</v>
      </c>
      <c r="BQ14" s="51">
        <f t="shared" si="1"/>
        <v>37.037500000000001</v>
      </c>
      <c r="BR14" s="54">
        <f t="shared" si="15"/>
        <v>3.2000000000000028</v>
      </c>
      <c r="BS14" s="158">
        <f t="shared" si="13"/>
        <v>7.2768618533257598E-2</v>
      </c>
      <c r="BT14" s="158">
        <f t="shared" si="2"/>
        <v>5.5096418732782419E-2</v>
      </c>
      <c r="BU14" s="158">
        <f t="shared" si="14"/>
        <v>4.4343692174047614E-2</v>
      </c>
      <c r="BW14" s="43">
        <f t="shared" si="3"/>
        <v>0</v>
      </c>
      <c r="BX14" s="2">
        <f t="shared" si="4"/>
        <v>0</v>
      </c>
    </row>
    <row r="15" spans="1:76" x14ac:dyDescent="0.25">
      <c r="A15" s="41">
        <v>13</v>
      </c>
      <c r="B15" s="87" t="s">
        <v>257</v>
      </c>
      <c r="C15" s="28" t="s">
        <v>196</v>
      </c>
      <c r="D15" s="29" t="s">
        <v>258</v>
      </c>
      <c r="E15" s="29" t="s">
        <v>436</v>
      </c>
      <c r="F15" s="30">
        <v>50</v>
      </c>
      <c r="G15" s="30">
        <v>70.5</v>
      </c>
      <c r="H15" s="88" t="s">
        <v>318</v>
      </c>
      <c r="I15" s="67">
        <v>1</v>
      </c>
      <c r="J15" s="92">
        <v>3</v>
      </c>
      <c r="K15" s="92">
        <v>0</v>
      </c>
      <c r="L15" s="92">
        <v>1</v>
      </c>
      <c r="M15" s="68">
        <v>0</v>
      </c>
      <c r="N15" s="97">
        <v>2</v>
      </c>
      <c r="O15" s="94">
        <v>3</v>
      </c>
      <c r="P15" s="94">
        <v>0</v>
      </c>
      <c r="Q15" s="94">
        <v>1</v>
      </c>
      <c r="R15" s="94">
        <v>0</v>
      </c>
      <c r="S15" s="65">
        <f t="shared" si="24"/>
        <v>6.375</v>
      </c>
      <c r="T15" s="128">
        <f t="shared" si="25"/>
        <v>7.875</v>
      </c>
      <c r="U15" s="67">
        <v>0</v>
      </c>
      <c r="V15" s="92">
        <v>0</v>
      </c>
      <c r="W15" s="92">
        <v>0</v>
      </c>
      <c r="X15" s="92">
        <v>0</v>
      </c>
      <c r="Y15" s="68">
        <v>2</v>
      </c>
      <c r="Z15" s="82">
        <v>0</v>
      </c>
      <c r="AA15" s="94">
        <v>0</v>
      </c>
      <c r="AB15" s="94">
        <v>0</v>
      </c>
      <c r="AC15" s="94">
        <v>0</v>
      </c>
      <c r="AD15" s="68">
        <v>2</v>
      </c>
      <c r="AE15" s="65">
        <f t="shared" si="26"/>
        <v>3.5999999999999996</v>
      </c>
      <c r="AF15" s="128">
        <f t="shared" si="27"/>
        <v>3.5999999999999996</v>
      </c>
      <c r="AG15" s="75">
        <v>0.8</v>
      </c>
      <c r="AH15" s="76">
        <v>0.8</v>
      </c>
      <c r="AI15" s="69">
        <v>2</v>
      </c>
      <c r="AJ15" s="98">
        <v>5</v>
      </c>
      <c r="AK15" s="98">
        <v>8</v>
      </c>
      <c r="AL15" s="98">
        <v>2</v>
      </c>
      <c r="AM15" s="70">
        <v>3</v>
      </c>
      <c r="AN15" s="131">
        <v>2</v>
      </c>
      <c r="AO15" s="98">
        <v>5</v>
      </c>
      <c r="AP15" s="98">
        <v>8</v>
      </c>
      <c r="AQ15" s="98">
        <v>2</v>
      </c>
      <c r="AR15" s="70">
        <v>3</v>
      </c>
      <c r="AS15" s="107">
        <f t="shared" si="28"/>
        <v>24.200000000000003</v>
      </c>
      <c r="AT15" s="168">
        <f t="shared" si="29"/>
        <v>24.200000000000003</v>
      </c>
      <c r="AU15" s="63">
        <f>5*1.3</f>
        <v>6.5</v>
      </c>
      <c r="AV15" s="64">
        <f>5*1.3</f>
        <v>6.5</v>
      </c>
      <c r="AW15" s="63">
        <f>1.4*11</f>
        <v>15.399999999999999</v>
      </c>
      <c r="AX15" s="64">
        <f>1.4*13</f>
        <v>18.2</v>
      </c>
      <c r="AY15" s="71">
        <v>0</v>
      </c>
      <c r="AZ15" s="101">
        <v>0</v>
      </c>
      <c r="BA15" s="101">
        <v>5</v>
      </c>
      <c r="BB15" s="101">
        <v>6</v>
      </c>
      <c r="BC15" s="102">
        <v>2</v>
      </c>
      <c r="BD15" s="71">
        <v>2</v>
      </c>
      <c r="BE15" s="101">
        <v>0</v>
      </c>
      <c r="BF15" s="101">
        <v>5</v>
      </c>
      <c r="BG15" s="101">
        <v>6</v>
      </c>
      <c r="BH15" s="72">
        <v>2</v>
      </c>
      <c r="BI15" s="109">
        <f t="shared" si="30"/>
        <v>27.200000000000003</v>
      </c>
      <c r="BJ15" s="134">
        <f t="shared" si="31"/>
        <v>33.6</v>
      </c>
      <c r="BM15" s="79">
        <v>27.2</v>
      </c>
      <c r="BN15" s="80">
        <v>46.3</v>
      </c>
      <c r="BO15" s="169">
        <f t="shared" si="12"/>
        <v>1.2424860455130955</v>
      </c>
      <c r="BP15" s="50">
        <f t="shared" si="0"/>
        <v>90.575000000000003</v>
      </c>
      <c r="BQ15" s="51">
        <f t="shared" si="1"/>
        <v>101.27500000000001</v>
      </c>
      <c r="BR15" s="54">
        <f t="shared" si="15"/>
        <v>10.700000000000003</v>
      </c>
      <c r="BS15" s="158">
        <f t="shared" si="13"/>
        <v>0.24332006822057994</v>
      </c>
      <c r="BT15" s="158">
        <f t="shared" si="2"/>
        <v>0.15177304964539012</v>
      </c>
      <c r="BU15" s="158">
        <f t="shared" si="14"/>
        <v>0.1221527196973179</v>
      </c>
      <c r="BW15" s="43">
        <f t="shared" si="3"/>
        <v>0</v>
      </c>
      <c r="BX15" s="2">
        <f t="shared" si="4"/>
        <v>0</v>
      </c>
    </row>
    <row r="16" spans="1:76" x14ac:dyDescent="0.25">
      <c r="A16" s="41">
        <v>14</v>
      </c>
      <c r="B16" s="87" t="s">
        <v>259</v>
      </c>
      <c r="C16" s="28" t="s">
        <v>196</v>
      </c>
      <c r="D16" s="29" t="s">
        <v>260</v>
      </c>
      <c r="E16" s="29" t="s">
        <v>436</v>
      </c>
      <c r="F16" s="30">
        <v>50</v>
      </c>
      <c r="G16" s="30">
        <v>57.76</v>
      </c>
      <c r="H16" s="88" t="s">
        <v>319</v>
      </c>
      <c r="N16" s="97"/>
      <c r="S16" s="65">
        <f t="shared" si="24"/>
        <v>0</v>
      </c>
      <c r="T16" s="128">
        <f t="shared" si="25"/>
        <v>0</v>
      </c>
      <c r="AE16" s="65">
        <f t="shared" si="26"/>
        <v>0</v>
      </c>
      <c r="AF16" s="128">
        <f t="shared" si="27"/>
        <v>0</v>
      </c>
      <c r="AS16" s="107">
        <f t="shared" si="28"/>
        <v>0</v>
      </c>
      <c r="AT16" s="168">
        <f t="shared" si="29"/>
        <v>0</v>
      </c>
      <c r="BI16" s="109">
        <f t="shared" si="30"/>
        <v>0</v>
      </c>
      <c r="BJ16" s="134">
        <f t="shared" si="31"/>
        <v>0</v>
      </c>
      <c r="BM16" s="79">
        <v>27.2</v>
      </c>
      <c r="BN16" s="80">
        <v>46.3</v>
      </c>
      <c r="BO16" s="169">
        <f t="shared" si="12"/>
        <v>1.2424860455130955</v>
      </c>
      <c r="BP16" s="50">
        <f t="shared" si="0"/>
        <v>0</v>
      </c>
      <c r="BQ16" s="51">
        <f t="shared" si="1"/>
        <v>0</v>
      </c>
      <c r="BR16" s="54">
        <f t="shared" si="15"/>
        <v>0</v>
      </c>
      <c r="BS16" s="158">
        <f t="shared" si="13"/>
        <v>0</v>
      </c>
      <c r="BT16" s="158">
        <f t="shared" si="2"/>
        <v>0</v>
      </c>
      <c r="BU16" s="158">
        <f t="shared" si="14"/>
        <v>0</v>
      </c>
      <c r="BW16" s="43">
        <f t="shared" si="3"/>
        <v>0</v>
      </c>
      <c r="BX16" s="2">
        <f t="shared" si="4"/>
        <v>0</v>
      </c>
    </row>
    <row r="17" spans="1:76" ht="25.5" x14ac:dyDescent="0.25">
      <c r="A17" s="41">
        <v>15</v>
      </c>
      <c r="B17" s="87" t="s">
        <v>261</v>
      </c>
      <c r="C17" s="28" t="s">
        <v>262</v>
      </c>
      <c r="D17" s="29" t="s">
        <v>263</v>
      </c>
      <c r="E17" s="29" t="s">
        <v>436</v>
      </c>
      <c r="F17" s="30">
        <v>50</v>
      </c>
      <c r="G17" s="30">
        <v>75.7</v>
      </c>
      <c r="H17" s="88" t="s">
        <v>322</v>
      </c>
      <c r="N17" s="97"/>
      <c r="S17" s="65">
        <f t="shared" si="24"/>
        <v>0</v>
      </c>
      <c r="T17" s="128">
        <f t="shared" si="25"/>
        <v>0</v>
      </c>
      <c r="AE17" s="65">
        <f t="shared" si="26"/>
        <v>0</v>
      </c>
      <c r="AF17" s="128">
        <f t="shared" si="27"/>
        <v>0</v>
      </c>
      <c r="AS17" s="107">
        <f t="shared" si="28"/>
        <v>0</v>
      </c>
      <c r="AT17" s="168">
        <f t="shared" si="29"/>
        <v>0</v>
      </c>
      <c r="BI17" s="109">
        <f t="shared" si="30"/>
        <v>0</v>
      </c>
      <c r="BJ17" s="134">
        <f t="shared" si="31"/>
        <v>0</v>
      </c>
      <c r="BM17" s="79">
        <v>25.3</v>
      </c>
      <c r="BN17" s="80">
        <v>46.1</v>
      </c>
      <c r="BO17" s="169">
        <f t="shared" si="12"/>
        <v>1.3300251002567727</v>
      </c>
      <c r="BP17" s="50">
        <f t="shared" si="0"/>
        <v>0</v>
      </c>
      <c r="BQ17" s="51">
        <f t="shared" si="1"/>
        <v>0</v>
      </c>
      <c r="BR17" s="54">
        <f t="shared" si="15"/>
        <v>0</v>
      </c>
      <c r="BS17" s="158">
        <f t="shared" si="13"/>
        <v>0</v>
      </c>
      <c r="BT17" s="158">
        <f t="shared" si="2"/>
        <v>0</v>
      </c>
      <c r="BU17" s="158">
        <f t="shared" si="14"/>
        <v>0</v>
      </c>
      <c r="BW17" s="43">
        <f t="shared" si="3"/>
        <v>0</v>
      </c>
      <c r="BX17" s="2">
        <f t="shared" si="4"/>
        <v>0</v>
      </c>
    </row>
    <row r="18" spans="1:76" ht="25.5" x14ac:dyDescent="0.25">
      <c r="A18" s="41">
        <v>16</v>
      </c>
      <c r="B18" s="87" t="s">
        <v>264</v>
      </c>
      <c r="C18" s="28" t="s">
        <v>199</v>
      </c>
      <c r="D18" s="29" t="s">
        <v>265</v>
      </c>
      <c r="E18" s="29" t="s">
        <v>437</v>
      </c>
      <c r="F18" s="30">
        <v>50</v>
      </c>
      <c r="G18" s="30">
        <v>55.66</v>
      </c>
      <c r="H18" s="88" t="s">
        <v>325</v>
      </c>
      <c r="I18" s="175"/>
      <c r="J18" s="124"/>
      <c r="K18" s="124"/>
      <c r="L18" s="124"/>
      <c r="M18" s="176"/>
      <c r="N18" s="171"/>
      <c r="O18" s="172"/>
      <c r="P18" s="172"/>
      <c r="Q18" s="172"/>
      <c r="R18" s="172"/>
      <c r="S18" s="173">
        <f t="shared" si="16"/>
        <v>0</v>
      </c>
      <c r="T18" s="174">
        <f t="shared" si="17"/>
        <v>0</v>
      </c>
      <c r="U18" s="175"/>
      <c r="V18" s="124"/>
      <c r="W18" s="124"/>
      <c r="X18" s="124"/>
      <c r="Y18" s="176"/>
      <c r="Z18" s="177"/>
      <c r="AA18" s="172"/>
      <c r="AB18" s="172"/>
      <c r="AC18" s="172"/>
      <c r="AD18" s="176"/>
      <c r="AE18" s="173">
        <f t="shared" si="18"/>
        <v>0</v>
      </c>
      <c r="AF18" s="174">
        <f t="shared" si="19"/>
        <v>0</v>
      </c>
      <c r="AI18" s="175"/>
      <c r="AJ18" s="124"/>
      <c r="AK18" s="124"/>
      <c r="AL18" s="124"/>
      <c r="AM18" s="176"/>
      <c r="AN18" s="178"/>
      <c r="AO18" s="124"/>
      <c r="AP18" s="124"/>
      <c r="AQ18" s="124"/>
      <c r="AR18" s="176"/>
      <c r="AS18" s="173">
        <f t="shared" si="20"/>
        <v>0</v>
      </c>
      <c r="AT18" s="174">
        <f t="shared" si="21"/>
        <v>0</v>
      </c>
      <c r="AU18" s="175"/>
      <c r="AV18" s="176"/>
      <c r="AW18" s="175"/>
      <c r="AX18" s="176"/>
      <c r="AY18" s="175"/>
      <c r="AZ18" s="124"/>
      <c r="BA18" s="124"/>
      <c r="BB18" s="124"/>
      <c r="BC18" s="172"/>
      <c r="BD18" s="175"/>
      <c r="BE18" s="124"/>
      <c r="BF18" s="124"/>
      <c r="BG18" s="124"/>
      <c r="BH18" s="176"/>
      <c r="BI18" s="173">
        <f t="shared" si="22"/>
        <v>0</v>
      </c>
      <c r="BJ18" s="174">
        <f t="shared" si="23"/>
        <v>0</v>
      </c>
      <c r="BK18" s="175"/>
      <c r="BL18" s="176"/>
      <c r="BM18" s="175">
        <v>23</v>
      </c>
      <c r="BN18" s="176">
        <v>34.9</v>
      </c>
      <c r="BO18" s="179">
        <f t="shared" si="12"/>
        <v>1.1075848936845445</v>
      </c>
      <c r="BP18" s="50">
        <f t="shared" si="0"/>
        <v>0</v>
      </c>
      <c r="BQ18" s="51">
        <f t="shared" si="1"/>
        <v>0</v>
      </c>
      <c r="BR18" s="54">
        <f t="shared" si="15"/>
        <v>0</v>
      </c>
      <c r="BS18" s="158">
        <f t="shared" si="13"/>
        <v>0</v>
      </c>
      <c r="BT18" s="158">
        <f t="shared" si="2"/>
        <v>0</v>
      </c>
      <c r="BU18" s="158">
        <f t="shared" si="14"/>
        <v>0</v>
      </c>
      <c r="BW18" s="43">
        <f t="shared" si="3"/>
        <v>0</v>
      </c>
      <c r="BX18" s="2">
        <f t="shared" si="4"/>
        <v>0</v>
      </c>
    </row>
    <row r="19" spans="1:76" ht="38.25" x14ac:dyDescent="0.25">
      <c r="A19" s="41">
        <v>17</v>
      </c>
      <c r="B19" s="87" t="s">
        <v>273</v>
      </c>
      <c r="C19" s="28" t="s">
        <v>204</v>
      </c>
      <c r="D19" s="29" t="s">
        <v>274</v>
      </c>
      <c r="E19" s="29" t="s">
        <v>438</v>
      </c>
      <c r="F19" s="30">
        <v>50</v>
      </c>
      <c r="G19" s="30">
        <v>56.97</v>
      </c>
      <c r="H19" s="88" t="s">
        <v>326</v>
      </c>
      <c r="I19" s="175"/>
      <c r="J19" s="124"/>
      <c r="K19" s="124"/>
      <c r="L19" s="124"/>
      <c r="M19" s="176"/>
      <c r="N19" s="171"/>
      <c r="O19" s="172"/>
      <c r="P19" s="172"/>
      <c r="Q19" s="172"/>
      <c r="R19" s="172"/>
      <c r="S19" s="173">
        <f t="shared" si="16"/>
        <v>0</v>
      </c>
      <c r="T19" s="174">
        <f t="shared" si="17"/>
        <v>0</v>
      </c>
      <c r="U19" s="175"/>
      <c r="V19" s="124"/>
      <c r="W19" s="124"/>
      <c r="X19" s="124"/>
      <c r="Y19" s="176"/>
      <c r="Z19" s="177"/>
      <c r="AA19" s="172"/>
      <c r="AB19" s="172"/>
      <c r="AC19" s="172"/>
      <c r="AD19" s="176"/>
      <c r="AE19" s="173">
        <f t="shared" si="18"/>
        <v>0</v>
      </c>
      <c r="AF19" s="174">
        <f t="shared" si="19"/>
        <v>0</v>
      </c>
      <c r="AI19" s="175"/>
      <c r="AJ19" s="124"/>
      <c r="AK19" s="124"/>
      <c r="AL19" s="124"/>
      <c r="AM19" s="176"/>
      <c r="AN19" s="178"/>
      <c r="AO19" s="124"/>
      <c r="AP19" s="124"/>
      <c r="AQ19" s="124"/>
      <c r="AR19" s="176"/>
      <c r="AS19" s="173">
        <f t="shared" si="20"/>
        <v>0</v>
      </c>
      <c r="AT19" s="174">
        <f t="shared" si="21"/>
        <v>0</v>
      </c>
      <c r="AU19" s="175"/>
      <c r="AV19" s="176"/>
      <c r="AW19" s="175"/>
      <c r="AX19" s="176"/>
      <c r="AY19" s="175"/>
      <c r="AZ19" s="124"/>
      <c r="BA19" s="124"/>
      <c r="BB19" s="124"/>
      <c r="BC19" s="172"/>
      <c r="BD19" s="175"/>
      <c r="BE19" s="124"/>
      <c r="BF19" s="124"/>
      <c r="BG19" s="124"/>
      <c r="BH19" s="176"/>
      <c r="BI19" s="173">
        <f t="shared" si="22"/>
        <v>0</v>
      </c>
      <c r="BJ19" s="174">
        <f t="shared" si="23"/>
        <v>0</v>
      </c>
      <c r="BK19" s="175"/>
      <c r="BL19" s="176"/>
      <c r="BM19" s="175">
        <v>28.8</v>
      </c>
      <c r="BN19" s="176">
        <v>47.4</v>
      </c>
      <c r="BO19" s="179">
        <f t="shared" si="12"/>
        <v>1.2013381995133818</v>
      </c>
      <c r="BP19" s="50">
        <f t="shared" si="0"/>
        <v>0</v>
      </c>
      <c r="BQ19" s="51">
        <f t="shared" si="1"/>
        <v>0</v>
      </c>
      <c r="BR19" s="54">
        <f t="shared" si="15"/>
        <v>0</v>
      </c>
      <c r="BS19" s="158">
        <f t="shared" si="13"/>
        <v>0</v>
      </c>
      <c r="BT19" s="158">
        <f t="shared" si="2"/>
        <v>0</v>
      </c>
      <c r="BU19" s="158">
        <f t="shared" si="14"/>
        <v>0</v>
      </c>
      <c r="BW19" s="43">
        <f t="shared" si="3"/>
        <v>0</v>
      </c>
      <c r="BX19" s="2">
        <f t="shared" si="4"/>
        <v>0</v>
      </c>
    </row>
    <row r="20" spans="1:76" ht="25.5" x14ac:dyDescent="0.25">
      <c r="A20" s="41">
        <v>18</v>
      </c>
      <c r="B20" s="87" t="s">
        <v>284</v>
      </c>
      <c r="C20" s="28" t="s">
        <v>282</v>
      </c>
      <c r="D20" s="29" t="s">
        <v>329</v>
      </c>
      <c r="E20" s="29" t="s">
        <v>436</v>
      </c>
      <c r="F20" s="30">
        <v>50</v>
      </c>
      <c r="G20" s="30">
        <v>54.6</v>
      </c>
      <c r="H20" s="88" t="s">
        <v>331</v>
      </c>
      <c r="N20" s="97"/>
      <c r="S20" s="65">
        <f t="shared" si="16"/>
        <v>0</v>
      </c>
      <c r="T20" s="128">
        <f t="shared" si="17"/>
        <v>0</v>
      </c>
      <c r="AE20" s="65">
        <f t="shared" si="18"/>
        <v>0</v>
      </c>
      <c r="AF20" s="128">
        <f t="shared" si="19"/>
        <v>0</v>
      </c>
      <c r="AS20" s="107">
        <f t="shared" si="20"/>
        <v>0</v>
      </c>
      <c r="AT20" s="168">
        <f t="shared" si="21"/>
        <v>0</v>
      </c>
      <c r="BI20" s="109">
        <f t="shared" si="22"/>
        <v>0</v>
      </c>
      <c r="BJ20" s="134">
        <f t="shared" si="23"/>
        <v>0</v>
      </c>
      <c r="BM20" s="79">
        <v>30.8</v>
      </c>
      <c r="BN20" s="80">
        <v>51.6</v>
      </c>
      <c r="BO20" s="169">
        <f t="shared" si="12"/>
        <v>1.2228647265143615</v>
      </c>
      <c r="BP20" s="50">
        <f t="shared" si="0"/>
        <v>0</v>
      </c>
      <c r="BQ20" s="51">
        <f t="shared" si="1"/>
        <v>0</v>
      </c>
      <c r="BR20" s="54">
        <f t="shared" si="15"/>
        <v>0</v>
      </c>
      <c r="BS20" s="158">
        <f t="shared" si="13"/>
        <v>0</v>
      </c>
      <c r="BT20" s="158">
        <f t="shared" si="2"/>
        <v>0</v>
      </c>
      <c r="BU20" s="158">
        <f t="shared" si="14"/>
        <v>0</v>
      </c>
      <c r="BW20" s="43">
        <f t="shared" si="3"/>
        <v>0</v>
      </c>
      <c r="BX20" s="2">
        <f t="shared" si="4"/>
        <v>0</v>
      </c>
    </row>
    <row r="21" spans="1:76" ht="39" thickBot="1" x14ac:dyDescent="0.3">
      <c r="A21" s="41">
        <v>19</v>
      </c>
      <c r="B21" s="87" t="s">
        <v>285</v>
      </c>
      <c r="C21" s="28" t="s">
        <v>282</v>
      </c>
      <c r="D21" s="29" t="s">
        <v>332</v>
      </c>
      <c r="E21" s="29" t="s">
        <v>438</v>
      </c>
      <c r="F21" s="30">
        <v>80</v>
      </c>
      <c r="G21" s="30">
        <v>169.99</v>
      </c>
      <c r="H21" s="88" t="s">
        <v>337</v>
      </c>
      <c r="I21" s="180"/>
      <c r="J21" s="181"/>
      <c r="K21" s="181"/>
      <c r="L21" s="181"/>
      <c r="M21" s="182"/>
      <c r="N21" s="183"/>
      <c r="O21" s="184"/>
      <c r="P21" s="184"/>
      <c r="Q21" s="184"/>
      <c r="R21" s="184"/>
      <c r="S21" s="185">
        <f t="shared" si="16"/>
        <v>0</v>
      </c>
      <c r="T21" s="186">
        <f t="shared" si="17"/>
        <v>0</v>
      </c>
      <c r="U21" s="180"/>
      <c r="V21" s="181"/>
      <c r="W21" s="181"/>
      <c r="X21" s="181"/>
      <c r="Y21" s="182"/>
      <c r="Z21" s="187"/>
      <c r="AA21" s="184"/>
      <c r="AB21" s="184"/>
      <c r="AC21" s="184"/>
      <c r="AD21" s="182"/>
      <c r="AE21" s="185">
        <f t="shared" si="18"/>
        <v>0</v>
      </c>
      <c r="AF21" s="186">
        <f t="shared" si="19"/>
        <v>0</v>
      </c>
      <c r="AG21" s="193"/>
      <c r="AH21" s="194"/>
      <c r="AI21" s="180"/>
      <c r="AJ21" s="181"/>
      <c r="AK21" s="181"/>
      <c r="AL21" s="181"/>
      <c r="AM21" s="182"/>
      <c r="AN21" s="188"/>
      <c r="AO21" s="181"/>
      <c r="AP21" s="181"/>
      <c r="AQ21" s="181"/>
      <c r="AR21" s="182"/>
      <c r="AS21" s="185">
        <f t="shared" si="20"/>
        <v>0</v>
      </c>
      <c r="AT21" s="186">
        <f t="shared" si="21"/>
        <v>0</v>
      </c>
      <c r="AU21" s="180"/>
      <c r="AV21" s="182"/>
      <c r="AW21" s="180"/>
      <c r="AX21" s="182"/>
      <c r="AY21" s="180"/>
      <c r="AZ21" s="181"/>
      <c r="BA21" s="181"/>
      <c r="BB21" s="181"/>
      <c r="BC21" s="184"/>
      <c r="BD21" s="180"/>
      <c r="BE21" s="181"/>
      <c r="BF21" s="181"/>
      <c r="BG21" s="181"/>
      <c r="BH21" s="182"/>
      <c r="BI21" s="185">
        <f t="shared" si="22"/>
        <v>0</v>
      </c>
      <c r="BJ21" s="186">
        <f t="shared" si="23"/>
        <v>0</v>
      </c>
      <c r="BK21" s="180"/>
      <c r="BL21" s="182"/>
      <c r="BM21" s="180">
        <v>30.8</v>
      </c>
      <c r="BN21" s="182">
        <v>51.6</v>
      </c>
      <c r="BO21" s="189">
        <f t="shared" si="12"/>
        <v>1.2228647265143615</v>
      </c>
      <c r="BP21" s="50">
        <f t="shared" si="0"/>
        <v>0</v>
      </c>
      <c r="BQ21" s="51">
        <f t="shared" si="1"/>
        <v>0</v>
      </c>
      <c r="BR21" s="54">
        <f t="shared" si="15"/>
        <v>0</v>
      </c>
      <c r="BS21" s="158">
        <f t="shared" si="13"/>
        <v>0</v>
      </c>
      <c r="BT21" s="158">
        <f t="shared" si="2"/>
        <v>0</v>
      </c>
      <c r="BU21" s="158">
        <f t="shared" si="14"/>
        <v>0</v>
      </c>
      <c r="BW21" s="43">
        <f t="shared" si="3"/>
        <v>0</v>
      </c>
      <c r="BX21" s="2">
        <f t="shared" si="4"/>
        <v>0</v>
      </c>
    </row>
    <row r="22" spans="1:76" x14ac:dyDescent="0.25">
      <c r="I22" s="65"/>
      <c r="J22" s="95"/>
      <c r="K22" s="95"/>
      <c r="L22" s="95"/>
      <c r="M22" s="66"/>
      <c r="N22" s="83"/>
      <c r="O22" s="93"/>
      <c r="P22" s="93"/>
      <c r="Q22" s="93"/>
      <c r="R22" s="93"/>
      <c r="S22" s="96"/>
      <c r="T22" s="66"/>
      <c r="U22" s="65"/>
      <c r="V22" s="95"/>
      <c r="W22" s="95"/>
      <c r="X22" s="95"/>
      <c r="Y22" s="66"/>
      <c r="Z22" s="83"/>
      <c r="AA22" s="93"/>
      <c r="AB22" s="93"/>
      <c r="AC22" s="93"/>
      <c r="AD22" s="66"/>
      <c r="AE22" s="65"/>
      <c r="AF22" s="83"/>
      <c r="AG22" s="73"/>
      <c r="AH22" s="74"/>
      <c r="AI22" s="107"/>
      <c r="AJ22" s="100"/>
      <c r="AK22" s="100"/>
      <c r="AL22" s="100"/>
      <c r="AM22" s="108"/>
      <c r="AN22" s="130"/>
      <c r="AO22" s="100"/>
      <c r="AP22" s="100"/>
      <c r="AQ22" s="100"/>
      <c r="AR22" s="108"/>
      <c r="AS22" s="107"/>
      <c r="AT22" s="132"/>
      <c r="AU22" s="61"/>
      <c r="AV22" s="62"/>
      <c r="AW22" s="61"/>
      <c r="AX22" s="62"/>
      <c r="AY22" s="109"/>
      <c r="AZ22" s="105"/>
      <c r="BA22" s="105"/>
      <c r="BB22" s="105"/>
      <c r="BC22" s="106"/>
      <c r="BD22" s="109"/>
      <c r="BE22" s="105"/>
      <c r="BF22" s="105"/>
      <c r="BG22" s="105"/>
      <c r="BH22" s="110"/>
      <c r="BI22" s="109"/>
      <c r="BJ22" s="134"/>
      <c r="BK22" s="73"/>
      <c r="BL22" s="74"/>
      <c r="BM22" s="77"/>
      <c r="BN22" s="78"/>
      <c r="BO22" s="156"/>
    </row>
    <row r="23" spans="1:76" x14ac:dyDescent="0.25">
      <c r="BR23" s="54" t="s">
        <v>434</v>
      </c>
      <c r="BS23" s="54">
        <f>MIN(BR4:BR21)</f>
        <v>0</v>
      </c>
    </row>
    <row r="24" spans="1:76" x14ac:dyDescent="0.25">
      <c r="BR24" s="54" t="s">
        <v>435</v>
      </c>
      <c r="BS24" s="54">
        <f>MAX(BR4:BR21)</f>
        <v>43.975000000000001</v>
      </c>
    </row>
  </sheetData>
  <mergeCells count="57">
    <mergeCell ref="BR1:BR3"/>
    <mergeCell ref="BW1:BW3"/>
    <mergeCell ref="BX1:BX3"/>
    <mergeCell ref="E1:E3"/>
    <mergeCell ref="BM1:BO1"/>
    <mergeCell ref="BV1:BV3"/>
    <mergeCell ref="S1:T1"/>
    <mergeCell ref="S2:S3"/>
    <mergeCell ref="T2:T3"/>
    <mergeCell ref="AE1:AF1"/>
    <mergeCell ref="AE2:AE3"/>
    <mergeCell ref="AF2:AF3"/>
    <mergeCell ref="AS2:AS3"/>
    <mergeCell ref="AT2:AT3"/>
    <mergeCell ref="AS1:AT1"/>
    <mergeCell ref="BI1:BJ1"/>
    <mergeCell ref="BI2:BI3"/>
    <mergeCell ref="BP2:BP3"/>
    <mergeCell ref="AU1:AV1"/>
    <mergeCell ref="AU2:AU3"/>
    <mergeCell ref="AV2:AV3"/>
    <mergeCell ref="BJ2:BJ3"/>
    <mergeCell ref="BQ2:BQ3"/>
    <mergeCell ref="BS1:BS3"/>
    <mergeCell ref="BT1:BT3"/>
    <mergeCell ref="BU1:BU3"/>
    <mergeCell ref="AW1:AX1"/>
    <mergeCell ref="AW2:AW3"/>
    <mergeCell ref="AX2:AX3"/>
    <mergeCell ref="AY1:BH1"/>
    <mergeCell ref="BD2:BH2"/>
    <mergeCell ref="AY2:BC2"/>
    <mergeCell ref="BL2:BL3"/>
    <mergeCell ref="BK2:BK3"/>
    <mergeCell ref="BP1:BQ1"/>
    <mergeCell ref="BM2:BM3"/>
    <mergeCell ref="BN2:BN3"/>
    <mergeCell ref="BO2:BO3"/>
    <mergeCell ref="I1:R1"/>
    <mergeCell ref="U1:AD1"/>
    <mergeCell ref="AN2:AR2"/>
    <mergeCell ref="AI2:AM2"/>
    <mergeCell ref="AI1:AR1"/>
    <mergeCell ref="AG1:AH1"/>
    <mergeCell ref="AG2:AG3"/>
    <mergeCell ref="AH2:AH3"/>
    <mergeCell ref="U2:Y2"/>
    <mergeCell ref="Z2:AD2"/>
    <mergeCell ref="I2:M2"/>
    <mergeCell ref="N2:R2"/>
    <mergeCell ref="B1:B3"/>
    <mergeCell ref="A1:A3"/>
    <mergeCell ref="F1:F3"/>
    <mergeCell ref="G1:G3"/>
    <mergeCell ref="H1:H3"/>
    <mergeCell ref="C1:C3"/>
    <mergeCell ref="D1:D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209A-C83C-4245-966C-28E150E4B4DC}">
  <dimension ref="A1:BX19"/>
  <sheetViews>
    <sheetView topLeftCell="AV1" zoomScaleNormal="100" workbookViewId="0">
      <selection activeCell="BS1" sqref="BS1:BS3"/>
    </sheetView>
  </sheetViews>
  <sheetFormatPr defaultRowHeight="15" x14ac:dyDescent="0.25"/>
  <cols>
    <col min="1" max="1" width="5.7109375" customWidth="1"/>
    <col min="2" max="2" width="15.7109375" customWidth="1"/>
    <col min="3" max="3" width="20.140625" customWidth="1"/>
    <col min="4" max="4" width="35.7109375" customWidth="1"/>
    <col min="5" max="5" width="16.7109375" customWidth="1"/>
    <col min="6" max="7" width="12.7109375" customWidth="1"/>
    <col min="8" max="8" width="20.5703125" customWidth="1"/>
    <col min="74" max="74" width="9.140625" style="196"/>
  </cols>
  <sheetData>
    <row r="1" spans="1:76" s="91" customFormat="1" ht="25.5" customHeight="1" thickBot="1" x14ac:dyDescent="0.3">
      <c r="A1" s="230" t="s">
        <v>0</v>
      </c>
      <c r="B1" s="227" t="s">
        <v>2</v>
      </c>
      <c r="C1" s="237" t="s">
        <v>10</v>
      </c>
      <c r="D1" s="237" t="s">
        <v>3</v>
      </c>
      <c r="E1" s="228" t="s">
        <v>375</v>
      </c>
      <c r="F1" s="233" t="s">
        <v>31</v>
      </c>
      <c r="G1" s="233" t="s">
        <v>32</v>
      </c>
      <c r="H1" s="234" t="s">
        <v>5</v>
      </c>
      <c r="I1" s="238" t="s">
        <v>350</v>
      </c>
      <c r="J1" s="239"/>
      <c r="K1" s="239"/>
      <c r="L1" s="239"/>
      <c r="M1" s="239"/>
      <c r="N1" s="239"/>
      <c r="O1" s="239"/>
      <c r="P1" s="239"/>
      <c r="Q1" s="239"/>
      <c r="R1" s="240"/>
      <c r="S1" s="238" t="s">
        <v>384</v>
      </c>
      <c r="T1" s="240"/>
      <c r="U1" s="239" t="s">
        <v>351</v>
      </c>
      <c r="V1" s="239"/>
      <c r="W1" s="239"/>
      <c r="X1" s="239"/>
      <c r="Y1" s="239"/>
      <c r="Z1" s="239"/>
      <c r="AA1" s="239"/>
      <c r="AB1" s="239"/>
      <c r="AC1" s="239"/>
      <c r="AD1" s="240"/>
      <c r="AE1" s="238" t="s">
        <v>386</v>
      </c>
      <c r="AF1" s="240"/>
      <c r="AG1" s="247" t="s">
        <v>352</v>
      </c>
      <c r="AH1" s="248"/>
      <c r="AI1" s="244" t="s">
        <v>353</v>
      </c>
      <c r="AJ1" s="245"/>
      <c r="AK1" s="245"/>
      <c r="AL1" s="245"/>
      <c r="AM1" s="245"/>
      <c r="AN1" s="245"/>
      <c r="AO1" s="245"/>
      <c r="AP1" s="245"/>
      <c r="AQ1" s="245"/>
      <c r="AR1" s="246"/>
      <c r="AS1" s="314" t="s">
        <v>387</v>
      </c>
      <c r="AT1" s="315"/>
      <c r="AU1" s="264" t="s">
        <v>354</v>
      </c>
      <c r="AV1" s="265"/>
      <c r="AW1" s="264" t="s">
        <v>355</v>
      </c>
      <c r="AX1" s="265"/>
      <c r="AY1" s="270" t="s">
        <v>356</v>
      </c>
      <c r="AZ1" s="271"/>
      <c r="BA1" s="271"/>
      <c r="BB1" s="271"/>
      <c r="BC1" s="271"/>
      <c r="BD1" s="271"/>
      <c r="BE1" s="271"/>
      <c r="BF1" s="271"/>
      <c r="BG1" s="271"/>
      <c r="BH1" s="272"/>
      <c r="BI1" s="270" t="s">
        <v>388</v>
      </c>
      <c r="BJ1" s="272"/>
      <c r="BK1" s="120" t="s">
        <v>357</v>
      </c>
      <c r="BL1" s="121"/>
      <c r="BM1" s="303" t="s">
        <v>439</v>
      </c>
      <c r="BN1" s="304"/>
      <c r="BO1" s="305"/>
      <c r="BP1" s="280" t="s">
        <v>360</v>
      </c>
      <c r="BQ1" s="281"/>
      <c r="BR1" s="294" t="s">
        <v>433</v>
      </c>
      <c r="BS1" s="258" t="s">
        <v>361</v>
      </c>
      <c r="BT1" s="258" t="s">
        <v>362</v>
      </c>
      <c r="BU1" s="261" t="s">
        <v>447</v>
      </c>
      <c r="BV1" s="316" t="s">
        <v>450</v>
      </c>
      <c r="BW1" s="297"/>
      <c r="BX1" s="300"/>
    </row>
    <row r="2" spans="1:76" s="90" customFormat="1" x14ac:dyDescent="0.25">
      <c r="A2" s="231"/>
      <c r="B2" s="228"/>
      <c r="C2" s="237"/>
      <c r="D2" s="237"/>
      <c r="E2" s="228"/>
      <c r="F2" s="228"/>
      <c r="G2" s="228"/>
      <c r="H2" s="235"/>
      <c r="I2" s="253" t="s">
        <v>358</v>
      </c>
      <c r="J2" s="254"/>
      <c r="K2" s="254"/>
      <c r="L2" s="254"/>
      <c r="M2" s="255"/>
      <c r="N2" s="253" t="s">
        <v>359</v>
      </c>
      <c r="O2" s="254"/>
      <c r="P2" s="254"/>
      <c r="Q2" s="254"/>
      <c r="R2" s="255"/>
      <c r="S2" s="306" t="s">
        <v>385</v>
      </c>
      <c r="T2" s="308" t="s">
        <v>359</v>
      </c>
      <c r="U2" s="253" t="s">
        <v>358</v>
      </c>
      <c r="V2" s="254"/>
      <c r="W2" s="254"/>
      <c r="X2" s="254"/>
      <c r="Y2" s="255"/>
      <c r="Z2" s="253" t="s">
        <v>359</v>
      </c>
      <c r="AA2" s="254"/>
      <c r="AB2" s="254"/>
      <c r="AC2" s="254"/>
      <c r="AD2" s="255"/>
      <c r="AE2" s="306" t="s">
        <v>385</v>
      </c>
      <c r="AF2" s="308" t="s">
        <v>359</v>
      </c>
      <c r="AG2" s="249" t="s">
        <v>358</v>
      </c>
      <c r="AH2" s="251" t="s">
        <v>359</v>
      </c>
      <c r="AI2" s="241" t="s">
        <v>358</v>
      </c>
      <c r="AJ2" s="242"/>
      <c r="AK2" s="242"/>
      <c r="AL2" s="242"/>
      <c r="AM2" s="243"/>
      <c r="AN2" s="241" t="s">
        <v>359</v>
      </c>
      <c r="AO2" s="242"/>
      <c r="AP2" s="242"/>
      <c r="AQ2" s="242"/>
      <c r="AR2" s="243"/>
      <c r="AS2" s="310" t="s">
        <v>358</v>
      </c>
      <c r="AT2" s="312" t="s">
        <v>359</v>
      </c>
      <c r="AU2" s="266" t="s">
        <v>358</v>
      </c>
      <c r="AV2" s="268" t="s">
        <v>359</v>
      </c>
      <c r="AW2" s="266" t="s">
        <v>358</v>
      </c>
      <c r="AX2" s="268" t="s">
        <v>359</v>
      </c>
      <c r="AY2" s="273" t="s">
        <v>358</v>
      </c>
      <c r="AZ2" s="274"/>
      <c r="BA2" s="274"/>
      <c r="BB2" s="274"/>
      <c r="BC2" s="275"/>
      <c r="BD2" s="273" t="s">
        <v>359</v>
      </c>
      <c r="BE2" s="274"/>
      <c r="BF2" s="274"/>
      <c r="BG2" s="274"/>
      <c r="BH2" s="275"/>
      <c r="BI2" s="288" t="s">
        <v>385</v>
      </c>
      <c r="BJ2" s="292" t="s">
        <v>359</v>
      </c>
      <c r="BK2" s="278" t="s">
        <v>358</v>
      </c>
      <c r="BL2" s="276" t="s">
        <v>359</v>
      </c>
      <c r="BM2" s="282" t="s">
        <v>358</v>
      </c>
      <c r="BN2" s="284" t="s">
        <v>359</v>
      </c>
      <c r="BO2" s="286" t="s">
        <v>448</v>
      </c>
      <c r="BP2" s="290" t="s">
        <v>358</v>
      </c>
      <c r="BQ2" s="256" t="s">
        <v>359</v>
      </c>
      <c r="BR2" s="295"/>
      <c r="BS2" s="259"/>
      <c r="BT2" s="259"/>
      <c r="BU2" s="262"/>
      <c r="BV2" s="317"/>
      <c r="BW2" s="298"/>
      <c r="BX2" s="301"/>
    </row>
    <row r="3" spans="1:76" ht="15.75" thickBot="1" x14ac:dyDescent="0.3">
      <c r="A3" s="232"/>
      <c r="B3" s="229"/>
      <c r="C3" s="237"/>
      <c r="D3" s="237"/>
      <c r="E3" s="229"/>
      <c r="F3" s="229"/>
      <c r="G3" s="229"/>
      <c r="H3" s="236"/>
      <c r="I3" s="117" t="s">
        <v>374</v>
      </c>
      <c r="J3" s="118" t="s">
        <v>370</v>
      </c>
      <c r="K3" s="118" t="s">
        <v>371</v>
      </c>
      <c r="L3" s="118" t="s">
        <v>372</v>
      </c>
      <c r="M3" s="119" t="s">
        <v>373</v>
      </c>
      <c r="N3" s="117" t="s">
        <v>374</v>
      </c>
      <c r="O3" s="118" t="s">
        <v>370</v>
      </c>
      <c r="P3" s="118" t="s">
        <v>371</v>
      </c>
      <c r="Q3" s="118" t="s">
        <v>372</v>
      </c>
      <c r="R3" s="126" t="s">
        <v>373</v>
      </c>
      <c r="S3" s="307"/>
      <c r="T3" s="309"/>
      <c r="U3" s="117" t="s">
        <v>374</v>
      </c>
      <c r="V3" s="118" t="s">
        <v>370</v>
      </c>
      <c r="W3" s="118" t="s">
        <v>371</v>
      </c>
      <c r="X3" s="118" t="s">
        <v>372</v>
      </c>
      <c r="Y3" s="119" t="s">
        <v>373</v>
      </c>
      <c r="Z3" s="127" t="s">
        <v>374</v>
      </c>
      <c r="AA3" s="118" t="s">
        <v>370</v>
      </c>
      <c r="AB3" s="118" t="s">
        <v>371</v>
      </c>
      <c r="AC3" s="118" t="s">
        <v>372</v>
      </c>
      <c r="AD3" s="119" t="s">
        <v>373</v>
      </c>
      <c r="AE3" s="307"/>
      <c r="AF3" s="309"/>
      <c r="AG3" s="250"/>
      <c r="AH3" s="252"/>
      <c r="AI3" s="114" t="s">
        <v>374</v>
      </c>
      <c r="AJ3" s="115" t="s">
        <v>370</v>
      </c>
      <c r="AK3" s="115" t="s">
        <v>371</v>
      </c>
      <c r="AL3" s="115" t="s">
        <v>372</v>
      </c>
      <c r="AM3" s="116" t="s">
        <v>373</v>
      </c>
      <c r="AN3" s="129" t="s">
        <v>374</v>
      </c>
      <c r="AO3" s="115" t="s">
        <v>370</v>
      </c>
      <c r="AP3" s="115" t="s">
        <v>371</v>
      </c>
      <c r="AQ3" s="115" t="s">
        <v>372</v>
      </c>
      <c r="AR3" s="116" t="s">
        <v>373</v>
      </c>
      <c r="AS3" s="311"/>
      <c r="AT3" s="313"/>
      <c r="AU3" s="267"/>
      <c r="AV3" s="269"/>
      <c r="AW3" s="267"/>
      <c r="AX3" s="269"/>
      <c r="AY3" s="111" t="s">
        <v>374</v>
      </c>
      <c r="AZ3" s="112" t="s">
        <v>370</v>
      </c>
      <c r="BA3" s="112" t="s">
        <v>371</v>
      </c>
      <c r="BB3" s="112" t="s">
        <v>372</v>
      </c>
      <c r="BC3" s="122" t="s">
        <v>373</v>
      </c>
      <c r="BD3" s="111" t="s">
        <v>374</v>
      </c>
      <c r="BE3" s="112" t="s">
        <v>370</v>
      </c>
      <c r="BF3" s="112" t="s">
        <v>371</v>
      </c>
      <c r="BG3" s="112" t="s">
        <v>372</v>
      </c>
      <c r="BH3" s="113" t="s">
        <v>373</v>
      </c>
      <c r="BI3" s="289"/>
      <c r="BJ3" s="293"/>
      <c r="BK3" s="279"/>
      <c r="BL3" s="277"/>
      <c r="BM3" s="283"/>
      <c r="BN3" s="285"/>
      <c r="BO3" s="287"/>
      <c r="BP3" s="291"/>
      <c r="BQ3" s="257"/>
      <c r="BR3" s="296"/>
      <c r="BS3" s="260"/>
      <c r="BT3" s="260"/>
      <c r="BU3" s="263"/>
      <c r="BV3" s="318"/>
      <c r="BW3" s="299"/>
      <c r="BX3" s="302"/>
    </row>
    <row r="4" spans="1:76" x14ac:dyDescent="0.25">
      <c r="A4" s="46">
        <v>1</v>
      </c>
      <c r="B4" s="85" t="s">
        <v>150</v>
      </c>
      <c r="C4" s="48" t="s">
        <v>151</v>
      </c>
      <c r="D4" s="49" t="s">
        <v>152</v>
      </c>
      <c r="E4" s="49" t="s">
        <v>436</v>
      </c>
      <c r="F4" s="47">
        <v>70</v>
      </c>
      <c r="G4" s="47">
        <v>70</v>
      </c>
      <c r="H4" s="86" t="s">
        <v>369</v>
      </c>
      <c r="I4" s="65">
        <v>0</v>
      </c>
      <c r="J4" s="95">
        <v>3</v>
      </c>
      <c r="K4" s="95">
        <v>0</v>
      </c>
      <c r="L4" s="95">
        <v>1</v>
      </c>
      <c r="M4" s="66">
        <v>0</v>
      </c>
      <c r="N4" s="96">
        <v>1</v>
      </c>
      <c r="O4" s="93">
        <v>3</v>
      </c>
      <c r="P4" s="93">
        <v>0</v>
      </c>
      <c r="Q4" s="93">
        <v>1</v>
      </c>
      <c r="R4" s="93">
        <v>0</v>
      </c>
      <c r="S4" s="65">
        <f>(Оценивание!I4+(J4*0.875)+(K4*0.75)+(L4*0.625)+(M4*0.5))*1.5</f>
        <v>4.875</v>
      </c>
      <c r="T4" s="128">
        <f>(N4+(O4*0.875)+(P4*0.75)+(Q4*0.625)+(R4*0.5))*1.5</f>
        <v>6.375</v>
      </c>
      <c r="U4" s="65">
        <v>0</v>
      </c>
      <c r="V4" s="83">
        <v>1</v>
      </c>
      <c r="W4" s="93">
        <v>3</v>
      </c>
      <c r="X4" s="93">
        <v>5</v>
      </c>
      <c r="Y4" s="66">
        <v>1</v>
      </c>
      <c r="Z4" s="84">
        <v>0</v>
      </c>
      <c r="AA4" s="83">
        <v>1</v>
      </c>
      <c r="AB4" s="93">
        <v>3</v>
      </c>
      <c r="AC4" s="93">
        <v>5</v>
      </c>
      <c r="AD4" s="66">
        <v>1</v>
      </c>
      <c r="AE4" s="65">
        <f>((U4+(V4*0.875)+(W4*0.75)+(X4*0.625)+(Y4*0.5))*3)*1.2</f>
        <v>24.3</v>
      </c>
      <c r="AF4" s="128">
        <f>((Z4+(AA4*0.875)+(AB4*0.75)+(AC4*0.625)+(AD4*0.5))*3)*1.2</f>
        <v>24.3</v>
      </c>
      <c r="AG4" s="190">
        <f>5*0.8</f>
        <v>4</v>
      </c>
      <c r="AH4" s="103">
        <f>5*0.8</f>
        <v>4</v>
      </c>
      <c r="AI4" s="107">
        <v>0</v>
      </c>
      <c r="AJ4" s="100">
        <v>2</v>
      </c>
      <c r="AK4" s="100">
        <v>0</v>
      </c>
      <c r="AL4" s="100">
        <v>2</v>
      </c>
      <c r="AM4" s="108">
        <v>1</v>
      </c>
      <c r="AN4" s="130">
        <v>2</v>
      </c>
      <c r="AO4" s="100">
        <v>2</v>
      </c>
      <c r="AP4" s="100">
        <v>2</v>
      </c>
      <c r="AQ4" s="100">
        <v>3</v>
      </c>
      <c r="AR4" s="108">
        <v>2</v>
      </c>
      <c r="AS4" s="107">
        <f>((AI4+(AJ4*0.875)+(AK4*0.75)+(AL4*0.625)+(AM4*0.5))*2)*0.8</f>
        <v>5.6000000000000005</v>
      </c>
      <c r="AT4" s="168">
        <f>((AN4+(AO4*0.875)+(AP4*0.75)+(AQ4*0.625)+(AR4*0.5))*2)*0.8</f>
        <v>13</v>
      </c>
      <c r="AU4" s="167">
        <f>4*1.3</f>
        <v>5.2</v>
      </c>
      <c r="AV4" s="99">
        <f>4*1.3</f>
        <v>5.2</v>
      </c>
      <c r="AW4" s="61">
        <v>1.4</v>
      </c>
      <c r="AX4" s="62">
        <v>1.4</v>
      </c>
      <c r="AY4" s="109">
        <v>0</v>
      </c>
      <c r="AZ4" s="105">
        <v>0</v>
      </c>
      <c r="BA4" s="105">
        <v>3</v>
      </c>
      <c r="BB4" s="105">
        <v>5</v>
      </c>
      <c r="BC4" s="106">
        <v>2</v>
      </c>
      <c r="BD4" s="109">
        <v>1</v>
      </c>
      <c r="BE4" s="105">
        <v>0</v>
      </c>
      <c r="BF4" s="105">
        <v>3</v>
      </c>
      <c r="BG4" s="105">
        <v>5</v>
      </c>
      <c r="BH4" s="110">
        <v>2</v>
      </c>
      <c r="BI4" s="109">
        <f>((AY4+(AZ4*0.875)+(BA4*0.75)+(BB4*0.625)+(BC4*0.5))*2)*1.6</f>
        <v>20.400000000000002</v>
      </c>
      <c r="BJ4" s="134">
        <f>((BD4+(BE4*0.875)+(BF4*0.75)+(BG4*0.625)+(BH4*0.5))*2)*1.6</f>
        <v>23.6</v>
      </c>
      <c r="BK4" s="73">
        <v>0.66860357693344197</v>
      </c>
      <c r="BL4" s="74">
        <v>0.64758282282734458</v>
      </c>
      <c r="BM4" s="77">
        <v>23.5</v>
      </c>
      <c r="BN4" s="78">
        <v>41.1</v>
      </c>
      <c r="BO4" s="169">
        <f>BN4/(BM4*1.37)</f>
        <v>1.2765957446808511</v>
      </c>
      <c r="BP4" s="50">
        <f t="shared" ref="BP4:BP14" si="0">S4+AE4+AG4+AS4+(AU4*2)+AW4+BI4</f>
        <v>70.974999999999994</v>
      </c>
      <c r="BQ4" s="51">
        <f t="shared" ref="BQ4:BQ14" si="1">T4+AF4+AH4+AT4+(AV4*2)+AX4+BJ4</f>
        <v>83.074999999999989</v>
      </c>
      <c r="BR4" s="53">
        <f>BQ4-BP4</f>
        <v>12.099999999999994</v>
      </c>
      <c r="BS4" s="158">
        <f>(BR4-$BS$18)/($BS$19-$BS$18)</f>
        <v>0.21827099938687902</v>
      </c>
      <c r="BT4" s="158">
        <f t="shared" ref="BT4:BT14" si="2">BR4/G4</f>
        <v>0.17285714285714276</v>
      </c>
      <c r="BU4" s="158">
        <f>BT4/BO4</f>
        <v>0.13540476190476183</v>
      </c>
      <c r="BV4" s="195">
        <f>AVERAGE(BS4:BU4)</f>
        <v>0.17551096804959454</v>
      </c>
      <c r="BW4" s="43">
        <f>BR4*BK4</f>
        <v>8.0901032808946436</v>
      </c>
      <c r="BX4" s="2">
        <f>BR4*BL4</f>
        <v>7.8357521562108658</v>
      </c>
    </row>
    <row r="5" spans="1:76" x14ac:dyDescent="0.25">
      <c r="A5" s="41">
        <v>2</v>
      </c>
      <c r="B5" s="87" t="s">
        <v>153</v>
      </c>
      <c r="C5" s="28" t="s">
        <v>154</v>
      </c>
      <c r="D5" s="29" t="s">
        <v>155</v>
      </c>
      <c r="E5" s="29" t="s">
        <v>436</v>
      </c>
      <c r="F5" s="30">
        <v>45</v>
      </c>
      <c r="G5" s="30">
        <v>53.07</v>
      </c>
      <c r="H5" s="88" t="s">
        <v>289</v>
      </c>
      <c r="I5" s="67">
        <v>0</v>
      </c>
      <c r="J5" s="92">
        <v>0</v>
      </c>
      <c r="K5" s="92">
        <v>1</v>
      </c>
      <c r="L5" s="92">
        <v>1</v>
      </c>
      <c r="M5" s="68">
        <v>0</v>
      </c>
      <c r="N5" s="97">
        <v>0</v>
      </c>
      <c r="O5" s="94">
        <v>0</v>
      </c>
      <c r="P5" s="92">
        <v>1</v>
      </c>
      <c r="Q5" s="94">
        <v>1</v>
      </c>
      <c r="R5" s="94">
        <v>0</v>
      </c>
      <c r="S5" s="65">
        <f>(I5+(J5*0.875)+(K5*0.75)+(L5*0.625)+(M5*0.5))*1.5</f>
        <v>2.0625</v>
      </c>
      <c r="T5" s="128">
        <f t="shared" ref="T5:T6" si="3">(N5+(O5*0.875)+(P5*0.75)+(Q5*0.625)+(R5*0.5))*1.5</f>
        <v>2.0625</v>
      </c>
      <c r="U5" s="67">
        <v>0</v>
      </c>
      <c r="V5" s="94">
        <v>1</v>
      </c>
      <c r="W5" s="94">
        <v>4</v>
      </c>
      <c r="X5" s="94">
        <v>1</v>
      </c>
      <c r="Y5" s="68">
        <v>0</v>
      </c>
      <c r="Z5" s="82">
        <v>2</v>
      </c>
      <c r="AA5" s="94">
        <v>1</v>
      </c>
      <c r="AB5" s="94">
        <v>4</v>
      </c>
      <c r="AC5" s="94">
        <v>1</v>
      </c>
      <c r="AD5" s="68">
        <v>0</v>
      </c>
      <c r="AE5" s="65">
        <f t="shared" ref="AE5" si="4">((U5+(V5*0.875)+(W5*0.75)+(X5*0.625)+(Y5*0.5))*3)*1.2</f>
        <v>16.2</v>
      </c>
      <c r="AF5" s="128">
        <f t="shared" ref="AF5:AF6" si="5">((Z5+(AA5*0.875)+(AB5*0.75)+(AC5*0.625)+(AD5*0.5))*3)*1.2</f>
        <v>23.4</v>
      </c>
      <c r="AG5" s="75">
        <f>3*0.8</f>
        <v>2.4000000000000004</v>
      </c>
      <c r="AH5" s="104">
        <f>3*0.8</f>
        <v>2.4000000000000004</v>
      </c>
      <c r="AI5" s="69">
        <v>0</v>
      </c>
      <c r="AJ5" s="98">
        <v>0</v>
      </c>
      <c r="AK5" s="98">
        <v>3</v>
      </c>
      <c r="AL5" s="98">
        <v>2</v>
      </c>
      <c r="AM5" s="70">
        <v>0</v>
      </c>
      <c r="AN5" s="131">
        <v>0</v>
      </c>
      <c r="AO5" s="98">
        <v>0</v>
      </c>
      <c r="AP5" s="98">
        <v>4</v>
      </c>
      <c r="AQ5" s="98">
        <v>3</v>
      </c>
      <c r="AR5" s="70">
        <v>0</v>
      </c>
      <c r="AS5" s="107">
        <f t="shared" ref="AS5:AS6" si="6">((AI5+(AJ5*0.875)+(AK5*0.75)+(AL5*0.625)+(AM5*0.5))*2)*0.8</f>
        <v>5.6000000000000005</v>
      </c>
      <c r="AT5" s="168">
        <f t="shared" ref="AT5:AT6" si="7">((AN5+(AO5*0.875)+(AP5*0.75)+(AQ5*0.625)+(AR5*0.5))*2)*0.8</f>
        <v>7.8000000000000007</v>
      </c>
      <c r="AU5" s="63">
        <v>0</v>
      </c>
      <c r="AV5" s="64">
        <v>0</v>
      </c>
      <c r="AW5" s="63">
        <v>1.4</v>
      </c>
      <c r="AX5" s="64">
        <v>1.4</v>
      </c>
      <c r="AY5" s="71">
        <v>0</v>
      </c>
      <c r="AZ5" s="101">
        <v>1</v>
      </c>
      <c r="BA5" s="101">
        <v>1</v>
      </c>
      <c r="BB5" s="101">
        <v>3</v>
      </c>
      <c r="BC5" s="102">
        <v>0</v>
      </c>
      <c r="BD5" s="71">
        <v>1</v>
      </c>
      <c r="BE5" s="101">
        <v>1</v>
      </c>
      <c r="BF5" s="101">
        <v>1</v>
      </c>
      <c r="BG5" s="101">
        <v>3</v>
      </c>
      <c r="BH5" s="72">
        <v>0</v>
      </c>
      <c r="BI5" s="109">
        <f t="shared" ref="BI5:BI6" si="8">((AY5+(AZ5*0.875)+(BA5*0.75)+(BB5*0.625)+(BC5*0.5))*2)*1.6</f>
        <v>11.200000000000001</v>
      </c>
      <c r="BJ5" s="134">
        <f t="shared" ref="BJ5:BJ6" si="9">((BD5+(BE5*0.875)+(BF5*0.75)+(BG5*0.625)+(BH5*0.5))*2)*1.6</f>
        <v>14.4</v>
      </c>
      <c r="BK5" s="75"/>
      <c r="BL5" s="76"/>
      <c r="BM5" s="79">
        <v>26.2</v>
      </c>
      <c r="BN5" s="80">
        <v>43.9</v>
      </c>
      <c r="BO5" s="169">
        <f t="shared" ref="BO5:BO14" si="10">BN5/(BM5*1.37)</f>
        <v>1.2230456343678608</v>
      </c>
      <c r="BP5" s="50">
        <f t="shared" si="0"/>
        <v>38.862500000000004</v>
      </c>
      <c r="BQ5" s="51">
        <f t="shared" si="1"/>
        <v>51.462499999999991</v>
      </c>
      <c r="BR5" s="54">
        <f>BQ5-BP5</f>
        <v>12.599999999999987</v>
      </c>
      <c r="BS5" s="158">
        <f t="shared" ref="BS5:BS14" si="11">(BR5-$BS$18)/($BS$19-$BS$18)</f>
        <v>0.23053341508277092</v>
      </c>
      <c r="BT5" s="158">
        <f t="shared" si="2"/>
        <v>0.23742227247032197</v>
      </c>
      <c r="BU5" s="158">
        <f t="shared" ref="BU5:BU14" si="12">BT5/BO5</f>
        <v>0.19412380519475483</v>
      </c>
      <c r="BV5" s="195">
        <f t="shared" ref="BV5:BV14" si="13">AVERAGE(BS5:BU5)</f>
        <v>0.22069316424928256</v>
      </c>
      <c r="BW5" s="43">
        <f t="shared" ref="BW5:BW14" si="14">BR5*BK5</f>
        <v>0</v>
      </c>
      <c r="BX5" s="2">
        <f t="shared" ref="BX5:BX14" si="15">BR5*BL5</f>
        <v>0</v>
      </c>
    </row>
    <row r="6" spans="1:76" x14ac:dyDescent="0.25">
      <c r="A6" s="41">
        <v>3</v>
      </c>
      <c r="B6" s="87" t="s">
        <v>156</v>
      </c>
      <c r="C6" s="28" t="s">
        <v>154</v>
      </c>
      <c r="D6" s="29" t="s">
        <v>157</v>
      </c>
      <c r="E6" s="29" t="s">
        <v>436</v>
      </c>
      <c r="F6" s="30">
        <v>90</v>
      </c>
      <c r="G6" s="30">
        <v>109.3</v>
      </c>
      <c r="H6" s="88" t="s">
        <v>290</v>
      </c>
      <c r="I6" s="67">
        <v>0</v>
      </c>
      <c r="J6" s="92">
        <v>1</v>
      </c>
      <c r="K6" s="92">
        <v>0</v>
      </c>
      <c r="L6" s="92">
        <v>0</v>
      </c>
      <c r="M6" s="68">
        <v>0</v>
      </c>
      <c r="N6" s="97">
        <v>2</v>
      </c>
      <c r="O6" s="94">
        <v>2</v>
      </c>
      <c r="P6" s="94">
        <v>1</v>
      </c>
      <c r="Q6" s="94">
        <v>1</v>
      </c>
      <c r="R6" s="94">
        <v>0</v>
      </c>
      <c r="S6" s="65">
        <f>(I6+(J6*0.875)+(K6*0.75)+(L6*0.625)+(M6*0.5))*1.5</f>
        <v>1.3125</v>
      </c>
      <c r="T6" s="128">
        <f t="shared" si="3"/>
        <v>7.6875</v>
      </c>
      <c r="U6" s="67">
        <v>0</v>
      </c>
      <c r="V6" s="92">
        <v>0</v>
      </c>
      <c r="W6" s="92">
        <v>0</v>
      </c>
      <c r="X6" s="92">
        <v>0</v>
      </c>
      <c r="Y6" s="68">
        <v>1</v>
      </c>
      <c r="Z6" s="82">
        <v>1</v>
      </c>
      <c r="AA6" s="94">
        <v>4</v>
      </c>
      <c r="AB6" s="94">
        <v>2</v>
      </c>
      <c r="AC6" s="94">
        <v>0</v>
      </c>
      <c r="AD6" s="68">
        <v>1</v>
      </c>
      <c r="AE6" s="65">
        <f>((U6+(V6*0.875)+(W6*0.75)+(X6*0.625)+(Y6*0.5))*3)*1.2</f>
        <v>1.7999999999999998</v>
      </c>
      <c r="AF6" s="128">
        <f t="shared" si="5"/>
        <v>23.4</v>
      </c>
      <c r="AG6" s="75">
        <v>0</v>
      </c>
      <c r="AH6" s="76">
        <v>0</v>
      </c>
      <c r="AI6" s="69">
        <v>0</v>
      </c>
      <c r="AJ6" s="98">
        <v>0</v>
      </c>
      <c r="AK6" s="98">
        <v>0</v>
      </c>
      <c r="AL6" s="98">
        <v>0</v>
      </c>
      <c r="AM6" s="70">
        <v>3</v>
      </c>
      <c r="AN6" s="131">
        <v>0</v>
      </c>
      <c r="AO6" s="98">
        <v>0</v>
      </c>
      <c r="AP6" s="98">
        <v>2</v>
      </c>
      <c r="AQ6" s="98">
        <v>0</v>
      </c>
      <c r="AR6" s="70">
        <v>3</v>
      </c>
      <c r="AS6" s="107">
        <f t="shared" si="6"/>
        <v>2.4000000000000004</v>
      </c>
      <c r="AT6" s="168">
        <f t="shared" si="7"/>
        <v>4.8000000000000007</v>
      </c>
      <c r="AU6" s="63">
        <v>1</v>
      </c>
      <c r="AV6" s="64">
        <v>2</v>
      </c>
      <c r="AW6" s="63">
        <v>0</v>
      </c>
      <c r="AX6" s="64">
        <f>4*1.4</f>
        <v>5.6</v>
      </c>
      <c r="AY6" s="71">
        <v>0</v>
      </c>
      <c r="AZ6" s="101">
        <v>0</v>
      </c>
      <c r="BA6" s="101">
        <v>0</v>
      </c>
      <c r="BB6" s="101">
        <v>0</v>
      </c>
      <c r="BC6" s="102">
        <v>0</v>
      </c>
      <c r="BD6" s="71">
        <v>1</v>
      </c>
      <c r="BE6" s="101">
        <v>1</v>
      </c>
      <c r="BF6" s="101">
        <v>0</v>
      </c>
      <c r="BG6" s="101">
        <v>0</v>
      </c>
      <c r="BH6" s="72">
        <v>0</v>
      </c>
      <c r="BI6" s="109">
        <f t="shared" si="8"/>
        <v>0</v>
      </c>
      <c r="BJ6" s="134">
        <f t="shared" si="9"/>
        <v>6</v>
      </c>
      <c r="BK6" s="75"/>
      <c r="BL6" s="76"/>
      <c r="BM6" s="79">
        <v>26.2</v>
      </c>
      <c r="BN6" s="80">
        <v>43.9</v>
      </c>
      <c r="BO6" s="169">
        <f t="shared" si="10"/>
        <v>1.2230456343678608</v>
      </c>
      <c r="BP6" s="50">
        <f t="shared" si="0"/>
        <v>7.5125000000000002</v>
      </c>
      <c r="BQ6" s="51">
        <f t="shared" si="1"/>
        <v>51.487500000000004</v>
      </c>
      <c r="BR6" s="54">
        <f t="shared" ref="BR6:BR14" si="16">BQ6-BP6</f>
        <v>43.975000000000001</v>
      </c>
      <c r="BS6" s="158">
        <f t="shared" si="11"/>
        <v>1</v>
      </c>
      <c r="BT6" s="158">
        <f t="shared" si="2"/>
        <v>0.40233302836230561</v>
      </c>
      <c r="BU6" s="158">
        <f t="shared" si="12"/>
        <v>0.32895994806461498</v>
      </c>
      <c r="BV6" s="195">
        <f t="shared" si="13"/>
        <v>0.57709765880897357</v>
      </c>
      <c r="BW6" s="43">
        <f t="shared" si="14"/>
        <v>0</v>
      </c>
      <c r="BX6" s="2">
        <f t="shared" si="15"/>
        <v>0</v>
      </c>
    </row>
    <row r="7" spans="1:76" ht="25.5" x14ac:dyDescent="0.25">
      <c r="A7" s="46">
        <v>4</v>
      </c>
      <c r="B7" s="87" t="s">
        <v>174</v>
      </c>
      <c r="C7" s="28" t="s">
        <v>175</v>
      </c>
      <c r="D7" s="29" t="s">
        <v>176</v>
      </c>
      <c r="E7" s="29" t="s">
        <v>436</v>
      </c>
      <c r="F7" s="30">
        <v>70</v>
      </c>
      <c r="G7" s="30">
        <v>70</v>
      </c>
      <c r="H7" s="88" t="s">
        <v>297</v>
      </c>
      <c r="I7" s="67">
        <v>1</v>
      </c>
      <c r="J7" s="94">
        <v>1</v>
      </c>
      <c r="K7" s="94">
        <v>0</v>
      </c>
      <c r="L7" s="94">
        <v>0</v>
      </c>
      <c r="M7" s="94">
        <v>2</v>
      </c>
      <c r="N7" s="97">
        <v>3</v>
      </c>
      <c r="O7" s="94">
        <v>1</v>
      </c>
      <c r="P7" s="94">
        <v>0</v>
      </c>
      <c r="Q7" s="94">
        <v>0</v>
      </c>
      <c r="R7" s="94">
        <v>2</v>
      </c>
      <c r="S7" s="65">
        <f>(I7+(J7*0.875)+(K7*0.75)+(L7*0.625)+(M7*0.5))*1.5</f>
        <v>4.3125</v>
      </c>
      <c r="T7" s="128">
        <f>(N7+(O7*0.875)+(P7*0.75)+(Q7*0.625)+(R7*0.5))*1.5</f>
        <v>7.3125</v>
      </c>
      <c r="U7" s="67">
        <v>0</v>
      </c>
      <c r="V7" s="94">
        <v>3</v>
      </c>
      <c r="W7" s="94">
        <v>0</v>
      </c>
      <c r="X7" s="94">
        <v>0</v>
      </c>
      <c r="Y7" s="68">
        <v>0</v>
      </c>
      <c r="Z7" s="82">
        <v>3</v>
      </c>
      <c r="AA7" s="94">
        <v>3</v>
      </c>
      <c r="AB7" s="94">
        <v>0</v>
      </c>
      <c r="AC7" s="94">
        <v>0</v>
      </c>
      <c r="AD7" s="68">
        <v>0</v>
      </c>
      <c r="AE7" s="65">
        <f>((U7+(V7*0.875)+(W7*0.75)+(X7*0.625)+(Y7*0.5))*3)*1.2</f>
        <v>9.4499999999999993</v>
      </c>
      <c r="AF7" s="128">
        <f>((Z7+(AA7*0.875)+(AB7*0.75)+(AC7*0.625)+(AD7*0.5))*3)*1.2</f>
        <v>20.25</v>
      </c>
      <c r="AG7" s="192">
        <v>0.8</v>
      </c>
      <c r="AH7" s="76">
        <v>0.8</v>
      </c>
      <c r="AI7" s="131">
        <v>1</v>
      </c>
      <c r="AJ7" s="98">
        <v>1</v>
      </c>
      <c r="AK7" s="98">
        <v>2</v>
      </c>
      <c r="AL7" s="98">
        <v>3</v>
      </c>
      <c r="AM7" s="70">
        <v>0</v>
      </c>
      <c r="AN7" s="131">
        <v>1</v>
      </c>
      <c r="AO7" s="98">
        <v>1</v>
      </c>
      <c r="AP7" s="98">
        <v>3</v>
      </c>
      <c r="AQ7" s="98">
        <v>5</v>
      </c>
      <c r="AR7" s="70">
        <v>0</v>
      </c>
      <c r="AS7" s="107">
        <f>((AI7+(AJ7*0.875)+(AK7*0.75)+(AL7*0.625)+(AM7*0.5))*2)*0.8</f>
        <v>8.4</v>
      </c>
      <c r="AT7" s="168">
        <f>((AN7+(AO7*0.875)+(AP7*0.75)+(AQ7*0.625)+(AR7*0.5))*2)*0.8</f>
        <v>11.600000000000001</v>
      </c>
      <c r="AU7" s="63">
        <f>10*1.3</f>
        <v>13</v>
      </c>
      <c r="AV7" s="170">
        <f>10*1.3</f>
        <v>13</v>
      </c>
      <c r="AW7" s="63">
        <v>1.4</v>
      </c>
      <c r="AX7" s="64">
        <v>4.2</v>
      </c>
      <c r="AY7" s="71">
        <v>0</v>
      </c>
      <c r="AZ7" s="101">
        <v>3</v>
      </c>
      <c r="BA7" s="101">
        <v>3</v>
      </c>
      <c r="BB7" s="101">
        <v>5</v>
      </c>
      <c r="BC7" s="102">
        <v>4</v>
      </c>
      <c r="BD7" s="71">
        <v>0</v>
      </c>
      <c r="BE7" s="101">
        <v>3</v>
      </c>
      <c r="BF7" s="101">
        <v>3</v>
      </c>
      <c r="BG7" s="101">
        <v>5</v>
      </c>
      <c r="BH7" s="102">
        <v>4</v>
      </c>
      <c r="BI7" s="109">
        <f>((AY7+(AZ7*0.875)+(BA7*0.75)+(BB7*0.625)+(BC7*0.5))*2)*1.6</f>
        <v>32</v>
      </c>
      <c r="BJ7" s="134">
        <f>((BD7+(BE7*0.875)+(BF7*0.75)+(BG7*0.625)+(BH7*0.5))*2)*1.6</f>
        <v>32</v>
      </c>
      <c r="BK7" s="75"/>
      <c r="BL7" s="76"/>
      <c r="BM7" s="79">
        <v>19.899999999999999</v>
      </c>
      <c r="BN7" s="80">
        <v>31.9</v>
      </c>
      <c r="BO7" s="169">
        <f t="shared" si="10"/>
        <v>1.170083996625463</v>
      </c>
      <c r="BP7" s="50">
        <f t="shared" si="0"/>
        <v>82.362499999999997</v>
      </c>
      <c r="BQ7" s="51">
        <f t="shared" si="1"/>
        <v>102.16250000000001</v>
      </c>
      <c r="BR7" s="54">
        <f t="shared" si="16"/>
        <v>19.800000000000011</v>
      </c>
      <c r="BS7" s="158">
        <f t="shared" si="11"/>
        <v>0.40711220110361762</v>
      </c>
      <c r="BT7" s="158">
        <f t="shared" si="2"/>
        <v>0.28285714285714303</v>
      </c>
      <c r="BU7" s="158">
        <f t="shared" si="12"/>
        <v>0.24174088669950755</v>
      </c>
      <c r="BV7" s="195">
        <f t="shared" si="13"/>
        <v>0.31057007688675603</v>
      </c>
      <c r="BW7" s="43">
        <f t="shared" si="14"/>
        <v>0</v>
      </c>
      <c r="BX7" s="2">
        <f t="shared" si="15"/>
        <v>0</v>
      </c>
    </row>
    <row r="8" spans="1:76" ht="25.5" x14ac:dyDescent="0.25">
      <c r="A8" s="41">
        <v>5</v>
      </c>
      <c r="B8" s="87" t="s">
        <v>180</v>
      </c>
      <c r="C8" s="28" t="s">
        <v>178</v>
      </c>
      <c r="D8" s="29" t="s">
        <v>181</v>
      </c>
      <c r="E8" s="29" t="s">
        <v>436</v>
      </c>
      <c r="F8" s="30">
        <v>44.5</v>
      </c>
      <c r="G8" s="30">
        <v>79.7</v>
      </c>
      <c r="H8" s="89" t="s">
        <v>299</v>
      </c>
      <c r="I8" s="67">
        <v>1</v>
      </c>
      <c r="J8" s="92">
        <v>1</v>
      </c>
      <c r="K8" s="92">
        <v>3</v>
      </c>
      <c r="L8" s="92">
        <v>0</v>
      </c>
      <c r="M8" s="68">
        <v>0</v>
      </c>
      <c r="N8" s="97">
        <v>1</v>
      </c>
      <c r="O8" s="94">
        <v>1</v>
      </c>
      <c r="P8" s="94">
        <v>3</v>
      </c>
      <c r="Q8" s="94">
        <v>0</v>
      </c>
      <c r="R8" s="94">
        <v>0</v>
      </c>
      <c r="S8" s="65">
        <f>(I8+(J8*0.875)+(K8*0.75)+(L8*0.625)+(M8*0.5))*1.5</f>
        <v>6.1875</v>
      </c>
      <c r="T8" s="128">
        <f>(N8+(O8*0.875)+(P8*0.75)+(Q8*0.625)+(R8*0.5))*1.5</f>
        <v>6.1875</v>
      </c>
      <c r="U8" s="67">
        <v>8</v>
      </c>
      <c r="V8" s="92">
        <v>16</v>
      </c>
      <c r="W8" s="92">
        <v>6</v>
      </c>
      <c r="X8" s="92">
        <v>2</v>
      </c>
      <c r="Y8" s="68">
        <v>1</v>
      </c>
      <c r="Z8" s="82">
        <v>14</v>
      </c>
      <c r="AA8" s="94">
        <v>16</v>
      </c>
      <c r="AB8" s="94">
        <v>6</v>
      </c>
      <c r="AC8" s="94">
        <v>2</v>
      </c>
      <c r="AD8" s="68">
        <v>1</v>
      </c>
      <c r="AE8" s="65">
        <f>((U8+(V8*0.875)+(W8*0.75)+(X8*0.625)+(Y8*0.5))*3)*1.2</f>
        <v>101.7</v>
      </c>
      <c r="AF8" s="128">
        <f>((Z8+(AA8*0.875)+(AB8*0.75)+(AC8*0.625)+(AD8*0.5))*3)*1.2</f>
        <v>123.3</v>
      </c>
      <c r="AG8" s="75">
        <f>0.8*15</f>
        <v>12</v>
      </c>
      <c r="AH8" s="103">
        <f>0.8*15</f>
        <v>12</v>
      </c>
      <c r="AI8" s="69">
        <v>8</v>
      </c>
      <c r="AJ8" s="98">
        <v>9</v>
      </c>
      <c r="AK8" s="98">
        <v>0</v>
      </c>
      <c r="AL8" s="98">
        <v>1</v>
      </c>
      <c r="AM8" s="70">
        <v>0</v>
      </c>
      <c r="AN8" s="131">
        <v>15</v>
      </c>
      <c r="AO8" s="98">
        <v>10</v>
      </c>
      <c r="AP8" s="98">
        <v>1</v>
      </c>
      <c r="AQ8" s="98">
        <v>5</v>
      </c>
      <c r="AR8" s="70">
        <v>0</v>
      </c>
      <c r="AS8" s="107">
        <f>((AI8+(AJ8*0.875)+(AK8*0.75)+(AL8*0.625)+(AM8*0.5))*2)*0.8</f>
        <v>26.400000000000002</v>
      </c>
      <c r="AT8" s="168">
        <f>((AN8+(AO8*0.875)+(AP8*0.75)+(AQ8*0.625)+(AR8*0.5))*2)*0.8</f>
        <v>44.2</v>
      </c>
      <c r="AU8" s="63">
        <f>5*1.3</f>
        <v>6.5</v>
      </c>
      <c r="AV8" s="64">
        <f>5*1.3</f>
        <v>6.5</v>
      </c>
      <c r="AW8" s="63">
        <f>13*1.4</f>
        <v>18.2</v>
      </c>
      <c r="AX8" s="64">
        <f>13*1.4</f>
        <v>18.2</v>
      </c>
      <c r="AY8" s="71">
        <v>0</v>
      </c>
      <c r="AZ8" s="101">
        <v>7</v>
      </c>
      <c r="BA8" s="101">
        <v>8</v>
      </c>
      <c r="BB8" s="101">
        <v>4</v>
      </c>
      <c r="BC8" s="72">
        <v>0</v>
      </c>
      <c r="BD8" s="71">
        <v>0</v>
      </c>
      <c r="BE8" s="101">
        <v>7</v>
      </c>
      <c r="BF8" s="101">
        <v>8</v>
      </c>
      <c r="BG8" s="101">
        <v>4</v>
      </c>
      <c r="BH8" s="72">
        <v>0</v>
      </c>
      <c r="BI8" s="109">
        <f>((AY8+(AZ8*0.875)+(BA8*0.75)+(BB8*0.625)+(BC8*0.5))*2)*1.6</f>
        <v>46.800000000000004</v>
      </c>
      <c r="BJ8" s="134">
        <f>((BD8+(BE8*0.875)+(BF8*0.75)+(BG8*0.625)+(BH8*0.5))*2)*1.6</f>
        <v>46.800000000000004</v>
      </c>
      <c r="BK8" s="75"/>
      <c r="BL8" s="76"/>
      <c r="BM8" s="79">
        <v>23.9</v>
      </c>
      <c r="BN8" s="80">
        <v>45.5</v>
      </c>
      <c r="BO8" s="169">
        <f t="shared" si="10"/>
        <v>1.3896099929755978</v>
      </c>
      <c r="BP8" s="50">
        <f t="shared" si="0"/>
        <v>224.28749999999999</v>
      </c>
      <c r="BQ8" s="51">
        <f t="shared" si="1"/>
        <v>263.6875</v>
      </c>
      <c r="BR8" s="54">
        <f t="shared" si="16"/>
        <v>39.400000000000006</v>
      </c>
      <c r="BS8" s="158">
        <f t="shared" si="11"/>
        <v>0.88779889638258747</v>
      </c>
      <c r="BT8" s="158">
        <f t="shared" si="2"/>
        <v>0.49435382685069013</v>
      </c>
      <c r="BU8" s="158">
        <f t="shared" si="12"/>
        <v>0.35575005170488233</v>
      </c>
      <c r="BV8" s="195">
        <f t="shared" si="13"/>
        <v>0.57930092497938668</v>
      </c>
      <c r="BW8" s="43">
        <f t="shared" si="14"/>
        <v>0</v>
      </c>
      <c r="BX8" s="2">
        <f t="shared" si="15"/>
        <v>0</v>
      </c>
    </row>
    <row r="9" spans="1:76" x14ac:dyDescent="0.25">
      <c r="A9" s="41">
        <v>6</v>
      </c>
      <c r="B9" s="87" t="s">
        <v>245</v>
      </c>
      <c r="C9" s="28" t="s">
        <v>185</v>
      </c>
      <c r="D9" s="29" t="s">
        <v>246</v>
      </c>
      <c r="E9" s="29" t="s">
        <v>436</v>
      </c>
      <c r="F9" s="30">
        <v>70</v>
      </c>
      <c r="G9" s="30">
        <v>517.17999999999995</v>
      </c>
      <c r="H9" s="88" t="s">
        <v>311</v>
      </c>
      <c r="I9" s="67">
        <v>0</v>
      </c>
      <c r="J9" s="92">
        <v>2</v>
      </c>
      <c r="K9" s="92">
        <v>0</v>
      </c>
      <c r="L9" s="92">
        <v>0</v>
      </c>
      <c r="M9" s="68">
        <v>0</v>
      </c>
      <c r="N9" s="97">
        <v>1</v>
      </c>
      <c r="O9" s="94">
        <v>2</v>
      </c>
      <c r="P9" s="94">
        <v>0</v>
      </c>
      <c r="Q9" s="94">
        <v>0</v>
      </c>
      <c r="R9" s="94">
        <v>0</v>
      </c>
      <c r="S9" s="65">
        <f>(I9+(J9*0.875)+(K9*0.75)+(L9*0.625)+(M9*0.5))*1.5</f>
        <v>2.625</v>
      </c>
      <c r="T9" s="128">
        <f>(N9+(O9*0.875)+(P9*0.75)+(Q9*0.625)+(R9*0.5))*1.5</f>
        <v>4.125</v>
      </c>
      <c r="U9" s="67">
        <v>4</v>
      </c>
      <c r="V9" s="92">
        <v>9</v>
      </c>
      <c r="W9" s="92">
        <v>2</v>
      </c>
      <c r="X9" s="92">
        <v>2</v>
      </c>
      <c r="Y9" s="68">
        <v>1</v>
      </c>
      <c r="Z9" s="82">
        <v>6</v>
      </c>
      <c r="AA9" s="94">
        <v>9</v>
      </c>
      <c r="AB9" s="94">
        <v>2</v>
      </c>
      <c r="AC9" s="94">
        <v>2</v>
      </c>
      <c r="AD9" s="68">
        <v>1</v>
      </c>
      <c r="AE9" s="65">
        <f>((U9+(V9*0.875)+(W9*0.75)+(X9*0.625)+(Y9*0.5))*3)*1.2</f>
        <v>54.449999999999996</v>
      </c>
      <c r="AF9" s="128">
        <f>((Z9+(AA9*0.875)+(AB9*0.75)+(AC9*0.625)+(AD9*0.5))*3)*1.2</f>
        <v>61.65</v>
      </c>
      <c r="AG9" s="75">
        <f>0.8*7</f>
        <v>5.6000000000000005</v>
      </c>
      <c r="AH9" s="104">
        <f>0.8*7</f>
        <v>5.6000000000000005</v>
      </c>
      <c r="AI9" s="69">
        <v>6</v>
      </c>
      <c r="AJ9" s="98">
        <v>17</v>
      </c>
      <c r="AK9" s="98">
        <v>10</v>
      </c>
      <c r="AL9" s="98">
        <v>4</v>
      </c>
      <c r="AM9" s="70">
        <v>0</v>
      </c>
      <c r="AN9" s="131">
        <v>11</v>
      </c>
      <c r="AO9" s="98">
        <v>19</v>
      </c>
      <c r="AP9" s="98">
        <v>13</v>
      </c>
      <c r="AQ9" s="98">
        <v>4</v>
      </c>
      <c r="AR9" s="70">
        <v>0</v>
      </c>
      <c r="AS9" s="107">
        <f>((AI9+(AJ9*0.875)+(AK9*0.75)+(AL9*0.625)+(AM9*0.5))*2)*0.8</f>
        <v>49.400000000000006</v>
      </c>
      <c r="AT9" s="168">
        <f>((AN9+(AO9*0.875)+(AP9*0.75)+(AQ9*0.625)+(AR9*0.5))*2)*0.8</f>
        <v>63.800000000000004</v>
      </c>
      <c r="AU9" s="63">
        <f>7*1.3</f>
        <v>9.1</v>
      </c>
      <c r="AV9" s="64">
        <f>7*1.3</f>
        <v>9.1</v>
      </c>
      <c r="AW9" s="63">
        <f>1.4*13</f>
        <v>18.2</v>
      </c>
      <c r="AX9" s="64">
        <f>1.4*18</f>
        <v>25.2</v>
      </c>
      <c r="AY9" s="71">
        <v>6</v>
      </c>
      <c r="AZ9" s="101">
        <v>6</v>
      </c>
      <c r="BA9" s="101">
        <v>2</v>
      </c>
      <c r="BB9" s="101">
        <v>0</v>
      </c>
      <c r="BC9" s="102">
        <v>2</v>
      </c>
      <c r="BD9" s="71">
        <v>7</v>
      </c>
      <c r="BE9" s="101">
        <v>6</v>
      </c>
      <c r="BF9" s="101">
        <v>4</v>
      </c>
      <c r="BG9" s="101">
        <v>0</v>
      </c>
      <c r="BH9" s="72">
        <v>2</v>
      </c>
      <c r="BI9" s="109">
        <f>((AY9+(AZ9*0.875)+(BA9*0.75)+(BB9*0.625)+(BC9*0.5))*2)*1.6</f>
        <v>44</v>
      </c>
      <c r="BJ9" s="134">
        <f>((BD9+(BE9*0.875)+(BF9*0.75)+(BG9*0.625)+(BH9*0.5))*2)*1.6</f>
        <v>52</v>
      </c>
      <c r="BK9" s="75"/>
      <c r="BL9" s="76"/>
      <c r="BM9" s="79">
        <v>44.1</v>
      </c>
      <c r="BN9" s="80">
        <v>66.900000000000006</v>
      </c>
      <c r="BO9" s="169">
        <f t="shared" si="10"/>
        <v>1.1073042355628382</v>
      </c>
      <c r="BP9" s="50">
        <f t="shared" si="0"/>
        <v>192.47499999999999</v>
      </c>
      <c r="BQ9" s="51">
        <f t="shared" si="1"/>
        <v>230.57499999999999</v>
      </c>
      <c r="BR9" s="54">
        <f t="shared" si="16"/>
        <v>38.099999999999994</v>
      </c>
      <c r="BS9" s="158">
        <f t="shared" si="11"/>
        <v>0.8559166155732677</v>
      </c>
      <c r="BT9" s="158">
        <f t="shared" si="2"/>
        <v>7.3668742024053518E-2</v>
      </c>
      <c r="BU9" s="158">
        <f t="shared" si="12"/>
        <v>6.6529811462888513E-2</v>
      </c>
      <c r="BV9" s="195">
        <f t="shared" si="13"/>
        <v>0.33203838968673655</v>
      </c>
      <c r="BW9" s="43">
        <f t="shared" si="14"/>
        <v>0</v>
      </c>
      <c r="BX9" s="2">
        <f t="shared" si="15"/>
        <v>0</v>
      </c>
    </row>
    <row r="10" spans="1:76" x14ac:dyDescent="0.25">
      <c r="A10" s="46">
        <v>7</v>
      </c>
      <c r="B10" s="87" t="s">
        <v>255</v>
      </c>
      <c r="C10" s="28" t="s">
        <v>196</v>
      </c>
      <c r="D10" s="29" t="s">
        <v>256</v>
      </c>
      <c r="E10" s="29" t="s">
        <v>436</v>
      </c>
      <c r="F10" s="30">
        <v>50</v>
      </c>
      <c r="G10" s="30">
        <v>58.08</v>
      </c>
      <c r="H10" s="88" t="s">
        <v>314</v>
      </c>
      <c r="I10" s="67">
        <v>2</v>
      </c>
      <c r="J10" s="92">
        <v>1</v>
      </c>
      <c r="K10" s="92">
        <v>1</v>
      </c>
      <c r="L10" s="92">
        <v>0</v>
      </c>
      <c r="M10" s="68">
        <v>0</v>
      </c>
      <c r="N10" s="97">
        <v>2</v>
      </c>
      <c r="O10" s="94">
        <v>1</v>
      </c>
      <c r="P10" s="94">
        <v>1</v>
      </c>
      <c r="Q10" s="94">
        <v>0</v>
      </c>
      <c r="R10" s="94">
        <v>0</v>
      </c>
      <c r="S10" s="65">
        <f t="shared" ref="S10:S13" si="17">(I10+(J10*0.875)+(K10*0.75)+(L10*0.625)+(M10*0.5))*1.5</f>
        <v>5.4375</v>
      </c>
      <c r="T10" s="128">
        <f t="shared" ref="T10:T13" si="18">(N10+(O10*0.875)+(P10*0.75)+(Q10*0.625)+(R10*0.5))*1.5</f>
        <v>5.4375</v>
      </c>
      <c r="U10" s="67">
        <v>4</v>
      </c>
      <c r="V10" s="92">
        <v>0</v>
      </c>
      <c r="W10" s="92">
        <v>0</v>
      </c>
      <c r="X10" s="92">
        <v>0</v>
      </c>
      <c r="Y10" s="68">
        <v>0</v>
      </c>
      <c r="Z10" s="82">
        <v>4</v>
      </c>
      <c r="AA10" s="94">
        <v>0</v>
      </c>
      <c r="AB10" s="94">
        <v>0</v>
      </c>
      <c r="AC10" s="94">
        <v>0</v>
      </c>
      <c r="AD10" s="68">
        <v>0</v>
      </c>
      <c r="AE10" s="65">
        <f t="shared" ref="AE10:AE13" si="19">((U10+(V10*0.875)+(W10*0.75)+(X10*0.625)+(Y10*0.5))*3)*1.2</f>
        <v>14.399999999999999</v>
      </c>
      <c r="AF10" s="128">
        <f t="shared" ref="AF10:AF13" si="20">((Z10+(AA10*0.875)+(AB10*0.75)+(AC10*0.625)+(AD10*0.5))*3)*1.2</f>
        <v>14.399999999999999</v>
      </c>
      <c r="AG10" s="75">
        <v>0.8</v>
      </c>
      <c r="AH10" s="76">
        <v>0.8</v>
      </c>
      <c r="AI10" s="69">
        <v>2</v>
      </c>
      <c r="AJ10" s="98">
        <v>0</v>
      </c>
      <c r="AK10" s="98">
        <v>0</v>
      </c>
      <c r="AL10" s="98">
        <v>0</v>
      </c>
      <c r="AM10" s="70">
        <v>0</v>
      </c>
      <c r="AN10" s="131">
        <v>2</v>
      </c>
      <c r="AO10" s="98">
        <v>0</v>
      </c>
      <c r="AP10" s="98">
        <v>0</v>
      </c>
      <c r="AQ10" s="98">
        <v>0</v>
      </c>
      <c r="AR10" s="70">
        <v>0</v>
      </c>
      <c r="AS10" s="107">
        <f t="shared" ref="AS10:AS13" si="21">((AI10+(AJ10*0.875)+(AK10*0.75)+(AL10*0.625)+(AM10*0.5))*2)*0.8</f>
        <v>3.2</v>
      </c>
      <c r="AT10" s="168">
        <f t="shared" ref="AT10:AT13" si="22">((AN10+(AO10*0.875)+(AP10*0.75)+(AQ10*0.625)+(AR10*0.5))*2)*0.8</f>
        <v>3.2</v>
      </c>
      <c r="AU10" s="63">
        <v>1.3</v>
      </c>
      <c r="AV10" s="64">
        <v>1.3</v>
      </c>
      <c r="AW10" s="63">
        <v>1.4</v>
      </c>
      <c r="AX10" s="64">
        <v>1.4</v>
      </c>
      <c r="AY10" s="71">
        <v>1</v>
      </c>
      <c r="AZ10" s="101">
        <v>1</v>
      </c>
      <c r="BA10" s="101">
        <v>0</v>
      </c>
      <c r="BB10" s="101">
        <v>0</v>
      </c>
      <c r="BC10" s="102">
        <v>0</v>
      </c>
      <c r="BD10" s="71">
        <v>2</v>
      </c>
      <c r="BE10" s="101">
        <v>1</v>
      </c>
      <c r="BF10" s="101">
        <v>0</v>
      </c>
      <c r="BG10" s="101">
        <v>0</v>
      </c>
      <c r="BH10" s="72">
        <v>0</v>
      </c>
      <c r="BI10" s="109">
        <f t="shared" ref="BI10:BI13" si="23">((AY10+(AZ10*0.875)+(BA10*0.75)+(BB10*0.625)+(BC10*0.5))*2)*1.6</f>
        <v>6</v>
      </c>
      <c r="BJ10" s="134">
        <f t="shared" ref="BJ10:BJ13" si="24">((BD10+(BE10*0.875)+(BF10*0.75)+(BG10*0.625)+(BH10*0.5))*2)*1.6</f>
        <v>9.2000000000000011</v>
      </c>
      <c r="BK10" s="75"/>
      <c r="BL10" s="76"/>
      <c r="BM10" s="79">
        <v>27.2</v>
      </c>
      <c r="BN10" s="80">
        <v>46.3</v>
      </c>
      <c r="BO10" s="169">
        <f t="shared" si="10"/>
        <v>1.2424860455130955</v>
      </c>
      <c r="BP10" s="50">
        <f t="shared" si="0"/>
        <v>33.837499999999999</v>
      </c>
      <c r="BQ10" s="51">
        <f t="shared" si="1"/>
        <v>37.037500000000001</v>
      </c>
      <c r="BR10" s="54">
        <f t="shared" si="16"/>
        <v>3.2000000000000028</v>
      </c>
      <c r="BS10" s="158">
        <f t="shared" si="11"/>
        <v>0</v>
      </c>
      <c r="BT10" s="158">
        <f t="shared" si="2"/>
        <v>5.5096418732782419E-2</v>
      </c>
      <c r="BU10" s="158">
        <f t="shared" si="12"/>
        <v>4.4343692174047614E-2</v>
      </c>
      <c r="BV10" s="195">
        <f t="shared" si="13"/>
        <v>3.3146703635610009E-2</v>
      </c>
      <c r="BW10" s="43">
        <f t="shared" si="14"/>
        <v>0</v>
      </c>
      <c r="BX10" s="2">
        <f t="shared" si="15"/>
        <v>0</v>
      </c>
    </row>
    <row r="11" spans="1:76" x14ac:dyDescent="0.25">
      <c r="A11" s="41">
        <v>8</v>
      </c>
      <c r="B11" s="87" t="s">
        <v>257</v>
      </c>
      <c r="C11" s="28" t="s">
        <v>196</v>
      </c>
      <c r="D11" s="29" t="s">
        <v>258</v>
      </c>
      <c r="E11" s="29" t="s">
        <v>436</v>
      </c>
      <c r="F11" s="30">
        <v>50</v>
      </c>
      <c r="G11" s="30">
        <v>70.5</v>
      </c>
      <c r="H11" s="88" t="s">
        <v>318</v>
      </c>
      <c r="I11" s="67">
        <v>1</v>
      </c>
      <c r="J11" s="92">
        <v>3</v>
      </c>
      <c r="K11" s="92">
        <v>0</v>
      </c>
      <c r="L11" s="92">
        <v>1</v>
      </c>
      <c r="M11" s="68">
        <v>0</v>
      </c>
      <c r="N11" s="97">
        <v>2</v>
      </c>
      <c r="O11" s="94">
        <v>3</v>
      </c>
      <c r="P11" s="94">
        <v>0</v>
      </c>
      <c r="Q11" s="94">
        <v>1</v>
      </c>
      <c r="R11" s="94">
        <v>0</v>
      </c>
      <c r="S11" s="65">
        <f t="shared" si="17"/>
        <v>6.375</v>
      </c>
      <c r="T11" s="128">
        <f t="shared" si="18"/>
        <v>7.875</v>
      </c>
      <c r="U11" s="67">
        <v>0</v>
      </c>
      <c r="V11" s="92">
        <v>0</v>
      </c>
      <c r="W11" s="92">
        <v>0</v>
      </c>
      <c r="X11" s="92">
        <v>0</v>
      </c>
      <c r="Y11" s="68">
        <v>2</v>
      </c>
      <c r="Z11" s="82">
        <v>0</v>
      </c>
      <c r="AA11" s="94">
        <v>0</v>
      </c>
      <c r="AB11" s="94">
        <v>0</v>
      </c>
      <c r="AC11" s="94">
        <v>0</v>
      </c>
      <c r="AD11" s="68">
        <v>2</v>
      </c>
      <c r="AE11" s="65">
        <f t="shared" si="19"/>
        <v>3.5999999999999996</v>
      </c>
      <c r="AF11" s="128">
        <f t="shared" si="20"/>
        <v>3.5999999999999996</v>
      </c>
      <c r="AG11" s="75">
        <v>0.8</v>
      </c>
      <c r="AH11" s="76">
        <v>0.8</v>
      </c>
      <c r="AI11" s="69">
        <v>2</v>
      </c>
      <c r="AJ11" s="98">
        <v>5</v>
      </c>
      <c r="AK11" s="98">
        <v>8</v>
      </c>
      <c r="AL11" s="98">
        <v>2</v>
      </c>
      <c r="AM11" s="70">
        <v>3</v>
      </c>
      <c r="AN11" s="131">
        <v>2</v>
      </c>
      <c r="AO11" s="98">
        <v>5</v>
      </c>
      <c r="AP11" s="98">
        <v>8</v>
      </c>
      <c r="AQ11" s="98">
        <v>2</v>
      </c>
      <c r="AR11" s="70">
        <v>3</v>
      </c>
      <c r="AS11" s="107">
        <f t="shared" si="21"/>
        <v>24.200000000000003</v>
      </c>
      <c r="AT11" s="168">
        <f t="shared" si="22"/>
        <v>24.200000000000003</v>
      </c>
      <c r="AU11" s="63">
        <f>5*1.3</f>
        <v>6.5</v>
      </c>
      <c r="AV11" s="64">
        <f>5*1.3</f>
        <v>6.5</v>
      </c>
      <c r="AW11" s="63">
        <f>1.4*11</f>
        <v>15.399999999999999</v>
      </c>
      <c r="AX11" s="64">
        <f>1.4*13</f>
        <v>18.2</v>
      </c>
      <c r="AY11" s="71">
        <v>0</v>
      </c>
      <c r="AZ11" s="101">
        <v>0</v>
      </c>
      <c r="BA11" s="101">
        <v>5</v>
      </c>
      <c r="BB11" s="101">
        <v>6</v>
      </c>
      <c r="BC11" s="102">
        <v>2</v>
      </c>
      <c r="BD11" s="71">
        <v>2</v>
      </c>
      <c r="BE11" s="101">
        <v>0</v>
      </c>
      <c r="BF11" s="101">
        <v>5</v>
      </c>
      <c r="BG11" s="101">
        <v>6</v>
      </c>
      <c r="BH11" s="72">
        <v>2</v>
      </c>
      <c r="BI11" s="109">
        <f t="shared" si="23"/>
        <v>27.200000000000003</v>
      </c>
      <c r="BJ11" s="134">
        <f t="shared" si="24"/>
        <v>33.6</v>
      </c>
      <c r="BK11" s="75"/>
      <c r="BL11" s="76"/>
      <c r="BM11" s="79">
        <v>27.2</v>
      </c>
      <c r="BN11" s="80">
        <v>46.3</v>
      </c>
      <c r="BO11" s="169">
        <f t="shared" si="10"/>
        <v>1.2424860455130955</v>
      </c>
      <c r="BP11" s="50">
        <f t="shared" si="0"/>
        <v>90.575000000000003</v>
      </c>
      <c r="BQ11" s="51">
        <f t="shared" si="1"/>
        <v>101.27500000000001</v>
      </c>
      <c r="BR11" s="54">
        <f t="shared" si="16"/>
        <v>10.700000000000003</v>
      </c>
      <c r="BS11" s="158">
        <f t="shared" si="11"/>
        <v>0.18393623543838136</v>
      </c>
      <c r="BT11" s="158">
        <f t="shared" si="2"/>
        <v>0.15177304964539012</v>
      </c>
      <c r="BU11" s="158">
        <f t="shared" si="12"/>
        <v>0.1221527196973179</v>
      </c>
      <c r="BV11" s="195">
        <f t="shared" si="13"/>
        <v>0.15262066826036313</v>
      </c>
      <c r="BW11" s="43">
        <f t="shared" si="14"/>
        <v>0</v>
      </c>
      <c r="BX11" s="2">
        <f t="shared" si="15"/>
        <v>0</v>
      </c>
    </row>
    <row r="12" spans="1:76" x14ac:dyDescent="0.25">
      <c r="A12" s="41">
        <v>9</v>
      </c>
      <c r="B12" s="87" t="s">
        <v>259</v>
      </c>
      <c r="C12" s="28" t="s">
        <v>196</v>
      </c>
      <c r="D12" s="29" t="s">
        <v>260</v>
      </c>
      <c r="E12" s="29" t="s">
        <v>436</v>
      </c>
      <c r="F12" s="30">
        <v>50</v>
      </c>
      <c r="G12" s="30">
        <v>57.76</v>
      </c>
      <c r="H12" s="88" t="s">
        <v>319</v>
      </c>
      <c r="I12" s="67">
        <v>1</v>
      </c>
      <c r="J12" s="92">
        <v>0</v>
      </c>
      <c r="K12" s="92">
        <v>3</v>
      </c>
      <c r="L12" s="92">
        <v>0</v>
      </c>
      <c r="M12" s="68">
        <v>0</v>
      </c>
      <c r="N12" s="67">
        <v>2</v>
      </c>
      <c r="O12" s="92">
        <v>0</v>
      </c>
      <c r="P12" s="92">
        <v>3</v>
      </c>
      <c r="Q12" s="92">
        <v>0</v>
      </c>
      <c r="R12" s="68">
        <v>0</v>
      </c>
      <c r="S12" s="65">
        <f t="shared" si="17"/>
        <v>4.875</v>
      </c>
      <c r="T12" s="128">
        <f t="shared" si="18"/>
        <v>6.375</v>
      </c>
      <c r="U12" s="67">
        <v>2</v>
      </c>
      <c r="V12" s="92">
        <v>1</v>
      </c>
      <c r="W12" s="92">
        <v>1</v>
      </c>
      <c r="X12" s="92">
        <v>0</v>
      </c>
      <c r="Y12" s="68">
        <v>0</v>
      </c>
      <c r="Z12" s="67">
        <v>2</v>
      </c>
      <c r="AA12" s="92">
        <v>1</v>
      </c>
      <c r="AB12" s="92">
        <v>1</v>
      </c>
      <c r="AC12" s="92">
        <v>0</v>
      </c>
      <c r="AD12" s="68">
        <v>0</v>
      </c>
      <c r="AE12" s="65">
        <f t="shared" si="19"/>
        <v>13.049999999999999</v>
      </c>
      <c r="AF12" s="128">
        <f t="shared" si="20"/>
        <v>13.049999999999999</v>
      </c>
      <c r="AG12" s="75">
        <f>6*0.8</f>
        <v>4.8000000000000007</v>
      </c>
      <c r="AH12" s="75">
        <f>6*0.8</f>
        <v>4.8000000000000007</v>
      </c>
      <c r="AI12" s="69">
        <v>1</v>
      </c>
      <c r="AJ12" s="98">
        <v>2</v>
      </c>
      <c r="AK12" s="98">
        <v>0</v>
      </c>
      <c r="AL12" s="98">
        <v>0</v>
      </c>
      <c r="AM12" s="70">
        <v>0</v>
      </c>
      <c r="AN12" s="131">
        <v>0</v>
      </c>
      <c r="AO12" s="98">
        <v>4</v>
      </c>
      <c r="AP12" s="98">
        <v>2</v>
      </c>
      <c r="AQ12" s="98">
        <v>0</v>
      </c>
      <c r="AR12" s="70">
        <v>0</v>
      </c>
      <c r="AS12" s="107">
        <f t="shared" si="21"/>
        <v>4.4000000000000004</v>
      </c>
      <c r="AT12" s="168">
        <f t="shared" si="22"/>
        <v>8</v>
      </c>
      <c r="AU12" s="63">
        <v>1.3</v>
      </c>
      <c r="AV12" s="64">
        <v>1.3</v>
      </c>
      <c r="AW12" s="63">
        <f>5*1.4</f>
        <v>7</v>
      </c>
      <c r="AX12" s="64">
        <f>7*1.4</f>
        <v>9.7999999999999989</v>
      </c>
      <c r="AY12" s="71">
        <v>0</v>
      </c>
      <c r="AZ12" s="101">
        <v>0</v>
      </c>
      <c r="BA12" s="101">
        <v>0</v>
      </c>
      <c r="BB12" s="101">
        <v>0</v>
      </c>
      <c r="BC12" s="102">
        <v>0</v>
      </c>
      <c r="BD12" s="71">
        <v>1</v>
      </c>
      <c r="BE12" s="101">
        <v>0</v>
      </c>
      <c r="BF12" s="101">
        <v>0</v>
      </c>
      <c r="BG12" s="101">
        <v>0</v>
      </c>
      <c r="BH12" s="72">
        <v>0</v>
      </c>
      <c r="BI12" s="109">
        <f t="shared" si="23"/>
        <v>0</v>
      </c>
      <c r="BJ12" s="134">
        <f t="shared" si="24"/>
        <v>3.2</v>
      </c>
      <c r="BK12" s="75"/>
      <c r="BL12" s="76"/>
      <c r="BM12" s="79">
        <v>27.2</v>
      </c>
      <c r="BN12" s="80">
        <v>46.3</v>
      </c>
      <c r="BO12" s="169">
        <f t="shared" si="10"/>
        <v>1.2424860455130955</v>
      </c>
      <c r="BP12" s="50">
        <f t="shared" si="0"/>
        <v>36.725000000000001</v>
      </c>
      <c r="BQ12" s="51">
        <f t="shared" si="1"/>
        <v>47.824999999999996</v>
      </c>
      <c r="BR12" s="54">
        <f t="shared" si="16"/>
        <v>11.099999999999994</v>
      </c>
      <c r="BS12" s="158">
        <f t="shared" si="11"/>
        <v>0.19374616799509484</v>
      </c>
      <c r="BT12" s="158">
        <f t="shared" si="2"/>
        <v>0.19217451523545698</v>
      </c>
      <c r="BU12" s="158">
        <f t="shared" si="12"/>
        <v>0.15466935498345724</v>
      </c>
      <c r="BV12" s="195">
        <f t="shared" si="13"/>
        <v>0.18019667940466969</v>
      </c>
      <c r="BW12" s="43">
        <f t="shared" si="14"/>
        <v>0</v>
      </c>
      <c r="BX12" s="2">
        <f t="shared" si="15"/>
        <v>0</v>
      </c>
    </row>
    <row r="13" spans="1:76" ht="25.5" x14ac:dyDescent="0.25">
      <c r="A13" s="46">
        <v>10</v>
      </c>
      <c r="B13" s="87" t="s">
        <v>261</v>
      </c>
      <c r="C13" s="28" t="s">
        <v>262</v>
      </c>
      <c r="D13" s="29" t="s">
        <v>263</v>
      </c>
      <c r="E13" s="29" t="s">
        <v>436</v>
      </c>
      <c r="F13" s="30">
        <v>50</v>
      </c>
      <c r="G13" s="30">
        <v>75.7</v>
      </c>
      <c r="H13" s="88" t="s">
        <v>322</v>
      </c>
      <c r="I13" s="67">
        <v>0</v>
      </c>
      <c r="J13" s="92">
        <v>0</v>
      </c>
      <c r="K13" s="92">
        <v>0</v>
      </c>
      <c r="L13" s="92">
        <v>1</v>
      </c>
      <c r="M13" s="68">
        <v>2</v>
      </c>
      <c r="N13" s="97">
        <v>1</v>
      </c>
      <c r="O13" s="94">
        <v>0</v>
      </c>
      <c r="P13" s="94">
        <v>0</v>
      </c>
      <c r="Q13" s="94">
        <v>1</v>
      </c>
      <c r="R13" s="94">
        <v>2</v>
      </c>
      <c r="S13" s="65">
        <f t="shared" si="17"/>
        <v>2.4375</v>
      </c>
      <c r="T13" s="128">
        <f t="shared" si="18"/>
        <v>3.9375</v>
      </c>
      <c r="U13" s="67">
        <v>0</v>
      </c>
      <c r="V13" s="92">
        <v>1</v>
      </c>
      <c r="W13" s="92">
        <v>0</v>
      </c>
      <c r="X13" s="92">
        <v>1</v>
      </c>
      <c r="Y13" s="68">
        <v>1</v>
      </c>
      <c r="Z13" s="82">
        <v>2</v>
      </c>
      <c r="AA13" s="94">
        <v>1</v>
      </c>
      <c r="AB13" s="94">
        <v>0</v>
      </c>
      <c r="AC13" s="94">
        <v>1</v>
      </c>
      <c r="AD13" s="68">
        <v>1</v>
      </c>
      <c r="AE13" s="65">
        <f t="shared" si="19"/>
        <v>7.1999999999999993</v>
      </c>
      <c r="AF13" s="128">
        <f t="shared" si="20"/>
        <v>14.399999999999999</v>
      </c>
      <c r="AG13" s="75">
        <v>0.8</v>
      </c>
      <c r="AH13" s="76">
        <v>0.8</v>
      </c>
      <c r="AI13" s="131">
        <v>0</v>
      </c>
      <c r="AJ13" s="98">
        <v>0</v>
      </c>
      <c r="AK13" s="98">
        <v>1</v>
      </c>
      <c r="AL13" s="98">
        <v>1</v>
      </c>
      <c r="AM13" s="70">
        <v>3</v>
      </c>
      <c r="AN13" s="131">
        <v>0</v>
      </c>
      <c r="AO13" s="98">
        <v>0</v>
      </c>
      <c r="AP13" s="98">
        <v>1</v>
      </c>
      <c r="AQ13" s="98">
        <v>1</v>
      </c>
      <c r="AR13" s="70">
        <v>3</v>
      </c>
      <c r="AS13" s="107">
        <f t="shared" si="21"/>
        <v>4.6000000000000005</v>
      </c>
      <c r="AT13" s="168">
        <f t="shared" si="22"/>
        <v>4.6000000000000005</v>
      </c>
      <c r="AU13" s="63">
        <f>3*1.3</f>
        <v>3.9000000000000004</v>
      </c>
      <c r="AV13" s="64">
        <v>3.9</v>
      </c>
      <c r="AW13" s="63">
        <f>3*1.4</f>
        <v>4.1999999999999993</v>
      </c>
      <c r="AX13" s="64">
        <f>3*1.4</f>
        <v>4.1999999999999993</v>
      </c>
      <c r="AY13" s="71">
        <v>0</v>
      </c>
      <c r="AZ13" s="101">
        <v>0</v>
      </c>
      <c r="BA13" s="101">
        <v>1</v>
      </c>
      <c r="BB13" s="101">
        <v>1</v>
      </c>
      <c r="BC13" s="102">
        <v>6</v>
      </c>
      <c r="BD13" s="71">
        <v>1</v>
      </c>
      <c r="BE13" s="101">
        <v>1</v>
      </c>
      <c r="BF13" s="101">
        <v>1</v>
      </c>
      <c r="BG13" s="101">
        <v>1</v>
      </c>
      <c r="BH13" s="72">
        <v>6</v>
      </c>
      <c r="BI13" s="109">
        <f t="shared" si="23"/>
        <v>14</v>
      </c>
      <c r="BJ13" s="134">
        <f t="shared" si="24"/>
        <v>20</v>
      </c>
      <c r="BK13" s="75"/>
      <c r="BL13" s="76"/>
      <c r="BM13" s="79">
        <v>25.3</v>
      </c>
      <c r="BN13" s="80">
        <v>46.1</v>
      </c>
      <c r="BO13" s="169">
        <f t="shared" si="10"/>
        <v>1.3300251002567727</v>
      </c>
      <c r="BP13" s="50">
        <f t="shared" si="0"/>
        <v>41.037500000000001</v>
      </c>
      <c r="BQ13" s="51">
        <f t="shared" si="1"/>
        <v>55.737499999999997</v>
      </c>
      <c r="BR13" s="54">
        <f t="shared" si="16"/>
        <v>14.699999999999996</v>
      </c>
      <c r="BS13" s="158">
        <f t="shared" si="11"/>
        <v>0.28203556100551791</v>
      </c>
      <c r="BT13" s="158">
        <f t="shared" si="2"/>
        <v>0.19418758256274762</v>
      </c>
      <c r="BU13" s="158">
        <f t="shared" si="12"/>
        <v>0.14600294575287193</v>
      </c>
      <c r="BV13" s="195">
        <f t="shared" si="13"/>
        <v>0.20740869644037918</v>
      </c>
      <c r="BW13" s="43">
        <f t="shared" si="14"/>
        <v>0</v>
      </c>
      <c r="BX13" s="2">
        <f t="shared" si="15"/>
        <v>0</v>
      </c>
    </row>
    <row r="14" spans="1:76" ht="25.5" x14ac:dyDescent="0.25">
      <c r="A14" s="41">
        <v>11</v>
      </c>
      <c r="B14" s="87" t="s">
        <v>284</v>
      </c>
      <c r="C14" s="28" t="s">
        <v>282</v>
      </c>
      <c r="D14" s="29" t="s">
        <v>329</v>
      </c>
      <c r="E14" s="29" t="s">
        <v>436</v>
      </c>
      <c r="F14" s="30">
        <v>50</v>
      </c>
      <c r="G14" s="30">
        <v>54.6</v>
      </c>
      <c r="H14" s="88" t="s">
        <v>331</v>
      </c>
      <c r="I14" s="67">
        <v>1</v>
      </c>
      <c r="J14" s="92">
        <v>1</v>
      </c>
      <c r="K14" s="92">
        <v>0</v>
      </c>
      <c r="L14" s="92">
        <v>0</v>
      </c>
      <c r="M14" s="68">
        <v>0</v>
      </c>
      <c r="N14" s="97">
        <v>1</v>
      </c>
      <c r="O14" s="94">
        <v>1</v>
      </c>
      <c r="P14" s="94">
        <v>0</v>
      </c>
      <c r="Q14" s="94">
        <v>0</v>
      </c>
      <c r="R14" s="94">
        <v>0</v>
      </c>
      <c r="S14" s="65">
        <f t="shared" ref="S14" si="25">I14+(J14*0.875)+(K14*0.75)+(L14*0.625)+(M14*0.5)</f>
        <v>1.875</v>
      </c>
      <c r="T14" s="128">
        <f t="shared" ref="T14" si="26">N14+(O14*0.875)+(P14*0.75)+(Q14*0.625)+(R14*0.5)</f>
        <v>1.875</v>
      </c>
      <c r="U14" s="67">
        <v>2</v>
      </c>
      <c r="V14" s="92">
        <v>3</v>
      </c>
      <c r="W14" s="92">
        <v>3</v>
      </c>
      <c r="X14" s="92">
        <v>0</v>
      </c>
      <c r="Y14" s="68">
        <v>0</v>
      </c>
      <c r="Z14" s="82">
        <v>3</v>
      </c>
      <c r="AA14" s="94">
        <v>3</v>
      </c>
      <c r="AB14" s="94">
        <v>3</v>
      </c>
      <c r="AC14" s="94">
        <v>0</v>
      </c>
      <c r="AD14" s="68">
        <v>0</v>
      </c>
      <c r="AE14" s="65">
        <f t="shared" ref="AE14" si="27">(U14+(V14*0.875)+(W14*0.75)+(X14*0.625)+(Y14*0.5))*3</f>
        <v>20.625</v>
      </c>
      <c r="AF14" s="128">
        <f t="shared" ref="AF14" si="28">(Z14+(AA14*0.875)+(AB14*0.75)+(AC14*0.625)+(AD14*0.5))*3</f>
        <v>23.625</v>
      </c>
      <c r="AG14" s="75">
        <v>0</v>
      </c>
      <c r="AH14" s="76">
        <v>0</v>
      </c>
      <c r="AI14" s="69">
        <v>0</v>
      </c>
      <c r="AJ14" s="98">
        <v>2</v>
      </c>
      <c r="AK14" s="98">
        <v>2</v>
      </c>
      <c r="AL14" s="98">
        <v>0</v>
      </c>
      <c r="AM14" s="70">
        <v>0</v>
      </c>
      <c r="AN14" s="131">
        <v>0</v>
      </c>
      <c r="AO14" s="98">
        <v>2</v>
      </c>
      <c r="AP14" s="98">
        <v>2</v>
      </c>
      <c r="AQ14" s="98">
        <v>1</v>
      </c>
      <c r="AR14" s="70">
        <v>0</v>
      </c>
      <c r="AS14" s="107">
        <f t="shared" ref="AS14" si="29">(AI14+(AJ14*0.875)+(AK14*0.75)+(AL14*0.625)+(AM14*0.5))*2</f>
        <v>6.5</v>
      </c>
      <c r="AT14" s="168">
        <f t="shared" ref="AT14" si="30">(AN14+(AO14*0.875)+(AP14*0.75)+(AQ14*0.625)+(AR14*0.5))*2</f>
        <v>7.75</v>
      </c>
      <c r="AU14" s="63">
        <f>1.3*3</f>
        <v>3.9000000000000004</v>
      </c>
      <c r="AV14" s="64">
        <f>1.3*3</f>
        <v>3.9000000000000004</v>
      </c>
      <c r="AW14" s="63">
        <f>1.4*3</f>
        <v>4.1999999999999993</v>
      </c>
      <c r="AX14" s="64">
        <f>1.4*3</f>
        <v>4.1999999999999993</v>
      </c>
      <c r="AY14" s="71">
        <v>1</v>
      </c>
      <c r="AZ14" s="101">
        <v>1</v>
      </c>
      <c r="BA14" s="101">
        <v>2</v>
      </c>
      <c r="BB14" s="101">
        <v>0</v>
      </c>
      <c r="BC14" s="102">
        <v>0</v>
      </c>
      <c r="BD14" s="71">
        <v>1</v>
      </c>
      <c r="BE14" s="101">
        <v>1</v>
      </c>
      <c r="BF14" s="101">
        <v>2</v>
      </c>
      <c r="BG14" s="101">
        <v>0</v>
      </c>
      <c r="BH14" s="72">
        <v>0</v>
      </c>
      <c r="BI14" s="109">
        <f t="shared" ref="BI14" si="31">(AY14+(AZ14*0.875)+(BA14*0.75)+(BB14*0.625)+(BC14*0.5))*2</f>
        <v>6.75</v>
      </c>
      <c r="BJ14" s="134">
        <f t="shared" ref="BJ14" si="32">(BD14+(BE14*0.875)+(BF14*0.75)+(BG14*0.625)+(BH14*0.5))*2</f>
        <v>6.75</v>
      </c>
      <c r="BK14" s="75"/>
      <c r="BL14" s="76"/>
      <c r="BM14" s="79">
        <v>30.8</v>
      </c>
      <c r="BN14" s="80">
        <v>51.6</v>
      </c>
      <c r="BO14" s="169">
        <f t="shared" si="10"/>
        <v>1.2228647265143615</v>
      </c>
      <c r="BP14" s="50">
        <f t="shared" si="0"/>
        <v>47.75</v>
      </c>
      <c r="BQ14" s="51">
        <f t="shared" si="1"/>
        <v>52</v>
      </c>
      <c r="BR14" s="54">
        <f t="shared" si="16"/>
        <v>4.25</v>
      </c>
      <c r="BS14" s="158">
        <f t="shared" si="11"/>
        <v>2.5751072961373321E-2</v>
      </c>
      <c r="BT14" s="158">
        <f t="shared" si="2"/>
        <v>7.783882783882784E-2</v>
      </c>
      <c r="BU14" s="158">
        <f t="shared" si="12"/>
        <v>6.3652852315643021E-2</v>
      </c>
      <c r="BV14" s="195">
        <f t="shared" si="13"/>
        <v>5.5747584371948065E-2</v>
      </c>
      <c r="BW14" s="43">
        <f t="shared" si="14"/>
        <v>0</v>
      </c>
      <c r="BX14" s="2">
        <f t="shared" si="15"/>
        <v>0</v>
      </c>
    </row>
    <row r="18" spans="71:71" x14ac:dyDescent="0.25">
      <c r="BS18">
        <f>MIN(BR4:BR14)</f>
        <v>3.2000000000000028</v>
      </c>
    </row>
    <row r="19" spans="71:71" x14ac:dyDescent="0.25">
      <c r="BS19">
        <f>MAX(BR4:BR14)</f>
        <v>43.975000000000001</v>
      </c>
    </row>
  </sheetData>
  <mergeCells count="57">
    <mergeCell ref="AE1:AF1"/>
    <mergeCell ref="AE2:AE3"/>
    <mergeCell ref="AF2:AF3"/>
    <mergeCell ref="A1:A3"/>
    <mergeCell ref="B1:B3"/>
    <mergeCell ref="C1:C3"/>
    <mergeCell ref="D1:D3"/>
    <mergeCell ref="E1:E3"/>
    <mergeCell ref="F1:F3"/>
    <mergeCell ref="G1:G3"/>
    <mergeCell ref="H1:H3"/>
    <mergeCell ref="I1:R1"/>
    <mergeCell ref="S1:T1"/>
    <mergeCell ref="U1:AD1"/>
    <mergeCell ref="AY1:BH1"/>
    <mergeCell ref="BD2:BH2"/>
    <mergeCell ref="AG2:AG3"/>
    <mergeCell ref="AH2:AH3"/>
    <mergeCell ref="AI2:AM2"/>
    <mergeCell ref="AN2:AR2"/>
    <mergeCell ref="AS2:AS3"/>
    <mergeCell ref="AG1:AH1"/>
    <mergeCell ref="AI1:AR1"/>
    <mergeCell ref="AS1:AT1"/>
    <mergeCell ref="AU1:AV1"/>
    <mergeCell ref="AW1:AX1"/>
    <mergeCell ref="AT2:AT3"/>
    <mergeCell ref="AU2:AU3"/>
    <mergeCell ref="AV2:AV3"/>
    <mergeCell ref="AW2:AW3"/>
    <mergeCell ref="BU1:BU3"/>
    <mergeCell ref="BV1:BV3"/>
    <mergeCell ref="BW1:BW3"/>
    <mergeCell ref="BX1:BX3"/>
    <mergeCell ref="I2:M2"/>
    <mergeCell ref="N2:R2"/>
    <mergeCell ref="S2:S3"/>
    <mergeCell ref="T2:T3"/>
    <mergeCell ref="U2:Y2"/>
    <mergeCell ref="Z2:AD2"/>
    <mergeCell ref="BI1:BJ1"/>
    <mergeCell ref="BM1:BO1"/>
    <mergeCell ref="BP1:BQ1"/>
    <mergeCell ref="BR1:BR3"/>
    <mergeCell ref="BS1:BS3"/>
    <mergeCell ref="BT1:BT3"/>
    <mergeCell ref="AX2:AX3"/>
    <mergeCell ref="BQ2:BQ3"/>
    <mergeCell ref="AY2:BC2"/>
    <mergeCell ref="BM2:BM3"/>
    <mergeCell ref="BN2:BN3"/>
    <mergeCell ref="BO2:BO3"/>
    <mergeCell ref="BP2:BP3"/>
    <mergeCell ref="BI2:BI3"/>
    <mergeCell ref="BJ2:BJ3"/>
    <mergeCell ref="BK2:BK3"/>
    <mergeCell ref="BL2:B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0310-FB9B-4E31-B5B5-EE6F9142DC69}">
  <dimension ref="A1:F10"/>
  <sheetViews>
    <sheetView workbookViewId="0">
      <selection activeCell="E17" sqref="E17"/>
    </sheetView>
  </sheetViews>
  <sheetFormatPr defaultRowHeight="15" x14ac:dyDescent="0.25"/>
  <cols>
    <col min="1" max="1" width="6.7109375" style="81" customWidth="1"/>
    <col min="2" max="2" width="40.7109375" customWidth="1"/>
  </cols>
  <sheetData>
    <row r="1" spans="1:6" x14ac:dyDescent="0.25">
      <c r="A1" s="123" t="s">
        <v>0</v>
      </c>
      <c r="B1" s="90" t="s">
        <v>375</v>
      </c>
      <c r="C1" s="90" t="s">
        <v>376</v>
      </c>
      <c r="D1" s="81"/>
      <c r="E1" s="81"/>
      <c r="F1" s="81"/>
    </row>
    <row r="2" spans="1:6" x14ac:dyDescent="0.25">
      <c r="A2" s="123">
        <v>1</v>
      </c>
      <c r="B2" s="2" t="s">
        <v>377</v>
      </c>
      <c r="C2" s="2">
        <v>1</v>
      </c>
      <c r="D2" s="81"/>
      <c r="E2" s="81"/>
      <c r="F2" s="81"/>
    </row>
    <row r="3" spans="1:6" x14ac:dyDescent="0.25">
      <c r="A3" s="123">
        <v>2</v>
      </c>
      <c r="B3" s="2" t="s">
        <v>378</v>
      </c>
      <c r="C3" s="2">
        <v>3</v>
      </c>
      <c r="D3" s="81"/>
      <c r="E3" s="81"/>
      <c r="F3" s="81"/>
    </row>
    <row r="4" spans="1:6" x14ac:dyDescent="0.25">
      <c r="A4" s="123">
        <v>3</v>
      </c>
      <c r="B4" s="2" t="s">
        <v>379</v>
      </c>
      <c r="C4" s="2">
        <v>2</v>
      </c>
      <c r="D4" s="81"/>
      <c r="E4" s="81"/>
      <c r="F4" s="81"/>
    </row>
    <row r="5" spans="1:6" x14ac:dyDescent="0.25">
      <c r="A5" s="123">
        <v>4</v>
      </c>
      <c r="B5" s="2" t="s">
        <v>382</v>
      </c>
      <c r="C5" s="124">
        <v>2</v>
      </c>
      <c r="D5" s="81"/>
      <c r="E5" s="81"/>
      <c r="F5" s="81"/>
    </row>
    <row r="6" spans="1:6" x14ac:dyDescent="0.25">
      <c r="A6" s="125">
        <v>5</v>
      </c>
      <c r="B6" s="2" t="s">
        <v>381</v>
      </c>
      <c r="C6" s="124">
        <v>2</v>
      </c>
      <c r="D6" s="81"/>
      <c r="E6" s="81"/>
      <c r="F6" s="81"/>
    </row>
    <row r="7" spans="1:6" x14ac:dyDescent="0.25">
      <c r="A7" s="125" t="s">
        <v>383</v>
      </c>
      <c r="B7" s="2" t="s">
        <v>380</v>
      </c>
      <c r="C7" s="124">
        <v>1</v>
      </c>
      <c r="D7" s="81"/>
      <c r="E7" s="81"/>
      <c r="F7" s="81"/>
    </row>
    <row r="8" spans="1:6" x14ac:dyDescent="0.25">
      <c r="B8" s="81"/>
      <c r="C8" s="81"/>
      <c r="D8" s="81"/>
      <c r="E8" s="81"/>
      <c r="F8" s="81"/>
    </row>
    <row r="9" spans="1:6" x14ac:dyDescent="0.25">
      <c r="B9" s="81"/>
      <c r="C9" s="81"/>
      <c r="D9" s="81"/>
      <c r="E9" s="81"/>
      <c r="F9" s="81"/>
    </row>
    <row r="10" spans="1:6" x14ac:dyDescent="0.25">
      <c r="B10" s="81"/>
      <c r="C10" s="81"/>
      <c r="D10" s="81"/>
      <c r="E10" s="81"/>
      <c r="F10" s="8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Проекты</vt:lpstr>
      <vt:lpstr>Лист1</vt:lpstr>
      <vt:lpstr>Мера весов</vt:lpstr>
      <vt:lpstr>Метрики</vt:lpstr>
      <vt:lpstr>Оценивание</vt:lpstr>
      <vt:lpstr>Только парки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Мамедов</dc:creator>
  <cp:lastModifiedBy>Денис Мамедов</cp:lastModifiedBy>
  <dcterms:created xsi:type="dcterms:W3CDTF">2025-11-14T08:30:33Z</dcterms:created>
  <dcterms:modified xsi:type="dcterms:W3CDTF">2026-02-09T16:45:28Z</dcterms:modified>
</cp:coreProperties>
</file>